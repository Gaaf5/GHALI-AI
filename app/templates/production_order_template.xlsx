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Sheet1!$A$1:$H$58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<sst xmlns="http://schemas.openxmlformats.org/spreadsheetml/2006/main" count="65" uniqueCount="62">
  <si>
    <t>Manaseer Natural Solutions MNS Factory</t>
  </si>
  <si>
    <t>Production Report</t>
  </si>
  <si>
    <t>Date: 18/6/2025</t>
  </si>
  <si>
    <t>Formula:-</t>
  </si>
  <si>
    <t>هون يتم كتابة التركيبه</t>
  </si>
  <si>
    <t>هون اللون</t>
  </si>
  <si>
    <t>Kg / batch:-</t>
  </si>
  <si>
    <t>رقم الباتش يعني مقدار حجم الخلطه التي تتسع في الخلاط</t>
  </si>
  <si>
    <t>هون اسم العميل</t>
  </si>
  <si>
    <t>Order no.:-</t>
  </si>
  <si>
    <t>هون اسم البراند و حجم كيس التعبئة</t>
  </si>
  <si>
    <t>Required quantity(ton)</t>
  </si>
  <si>
    <t xml:space="preserve">هون الكمية المطلوبه </t>
  </si>
  <si>
    <t>No. of batches:-</t>
  </si>
  <si>
    <t>هون الكمية المطلوبه مقسومه على حجم الباتش</t>
  </si>
  <si>
    <t>Kg produced:-</t>
  </si>
  <si>
    <t>Silo no.</t>
  </si>
  <si>
    <t>Raw material</t>
  </si>
  <si>
    <t>Kg / ton</t>
  </si>
  <si>
    <t>Kg / batch</t>
  </si>
  <si>
    <t>Total theo.</t>
  </si>
  <si>
    <t>Total actual</t>
  </si>
  <si>
    <t>Basis 1000Kg</t>
  </si>
  <si>
    <t>kg</t>
  </si>
  <si>
    <t>Urea</t>
  </si>
  <si>
    <t>MAP</t>
  </si>
  <si>
    <t>NOP</t>
  </si>
  <si>
    <t>SOP</t>
  </si>
  <si>
    <t>MKP</t>
  </si>
  <si>
    <t>Sub total:-</t>
  </si>
  <si>
    <t>Additives:-</t>
  </si>
  <si>
    <t>Red Color</t>
  </si>
  <si>
    <t>بالنسبة ل اللون بدي خيار اختار منه اللون</t>
  </si>
  <si>
    <t>Foom Silica</t>
  </si>
  <si>
    <t>يكون خيار يتم تعبئة مجرد رقم فيه من خلال الفورميشن</t>
  </si>
  <si>
    <t>MgSO4 33%</t>
  </si>
  <si>
    <t>Aquamine</t>
  </si>
  <si>
    <t xml:space="preserve">وهاي نفسهم </t>
  </si>
  <si>
    <t>Fe EDDHA 6%</t>
  </si>
  <si>
    <t>Disper Chlorophy</t>
  </si>
  <si>
    <t>وهاي كذلك لانهم مجرد عناصر</t>
  </si>
  <si>
    <t>TE- MIX EDTA</t>
  </si>
  <si>
    <t>Total</t>
  </si>
  <si>
    <t>Total No. of bags produced (20Kg)</t>
  </si>
  <si>
    <t>Marks</t>
  </si>
  <si>
    <t>type of bags</t>
  </si>
  <si>
    <t>No. of pallets Produced :-</t>
  </si>
  <si>
    <t>No. of bags per pallet:-</t>
  </si>
  <si>
    <t>Total production =</t>
  </si>
  <si>
    <t>Kg</t>
  </si>
  <si>
    <t>Reusable waste =</t>
  </si>
  <si>
    <t>Invesible waste =</t>
  </si>
  <si>
    <t>waste =</t>
  </si>
  <si>
    <t>Defect (%) =</t>
  </si>
  <si>
    <t>total working hours =</t>
  </si>
  <si>
    <t>Brackdown details</t>
  </si>
  <si>
    <t>No.</t>
  </si>
  <si>
    <t>Description</t>
  </si>
  <si>
    <t>Stopping Hours</t>
  </si>
  <si>
    <t>Control room</t>
  </si>
  <si>
    <t>Plant Manager</t>
  </si>
  <si>
    <t>supervisor sign.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</si>
</sst>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#,##0.0_);[Red]\(#,##0.0\)"/>
    <numFmt numFmtId="179" formatCode="#,##0.0"/>
    <numFmt numFmtId="180" formatCode="#,##0.000"/>
    <numFmt numFmtId="181" formatCode="#,##0.0000"/>
  </numFmts>
  <fonts count="30">
    <font>
      <sz val="10"/>
      <name val="Arial"/>
      <charset val="134"/>
    </font>
    <font>
      <b/>
      <sz val="10"/>
      <name val="Arial"/>
      <charset val="134"/>
    </font>
    <font>
      <sz val="10"/>
      <name val="Times New Roman"/>
      <charset val="134"/>
    </font>
    <font>
      <b/>
      <u/>
      <sz val="14"/>
      <name val="Times New Roman"/>
      <charset val="134"/>
    </font>
    <font>
      <b/>
      <sz val="14"/>
      <name val="Times New Roman"/>
      <charset val="134"/>
    </font>
    <font>
      <b/>
      <u/>
      <sz val="12"/>
      <name val="Times New Roman"/>
      <charset val="134"/>
    </font>
    <font>
      <b/>
      <u/>
      <sz val="10"/>
      <name val="Times New Roman"/>
      <charset val="134"/>
    </font>
    <font>
      <b/>
      <sz val="10"/>
      <name val="Times New Roman"/>
      <charset val="134"/>
    </font>
    <font>
      <b/>
      <sz val="12"/>
      <name val="Times New Roman"/>
      <charset val="134"/>
    </font>
    <font>
      <b/>
      <i/>
      <sz val="10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  <border>
      <left style="dashed">
        <color auto="1"/>
      </left>
      <right/>
      <top/>
      <bottom/>
      <diagonal/>
    </border>
    <border>
      <left/>
      <right style="dashed">
        <color auto="1"/>
      </right>
      <top/>
      <bottom/>
      <diagonal/>
    </border>
    <border>
      <left style="dashed">
        <color auto="1"/>
      </left>
      <right/>
      <top/>
      <bottom style="dashed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thin">
        <color auto="1"/>
      </top>
      <bottom style="dashed">
        <color auto="1"/>
      </bottom>
      <diagonal/>
    </border>
    <border>
      <left style="dashed">
        <color auto="1"/>
      </left>
      <right/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thin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3" borderId="2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5" applyNumberFormat="0" applyFill="0" applyAlignment="0" applyProtection="0">
      <alignment vertical="center"/>
    </xf>
    <xf numFmtId="0" fontId="18" fillId="0" borderId="2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27" applyNumberFormat="0" applyAlignment="0" applyProtection="0">
      <alignment vertical="center"/>
    </xf>
    <xf numFmtId="0" fontId="20" fillId="5" borderId="28" applyNumberFormat="0" applyAlignment="0" applyProtection="0">
      <alignment vertical="center"/>
    </xf>
    <xf numFmtId="0" fontId="21" fillId="5" borderId="27" applyNumberFormat="0" applyAlignment="0" applyProtection="0">
      <alignment vertical="center"/>
    </xf>
    <xf numFmtId="0" fontId="22" fillId="6" borderId="29" applyNumberFormat="0" applyAlignment="0" applyProtection="0">
      <alignment vertical="center"/>
    </xf>
    <xf numFmtId="0" fontId="23" fillId="0" borderId="30" applyNumberFormat="0" applyFill="0" applyAlignment="0" applyProtection="0">
      <alignment vertical="center"/>
    </xf>
    <xf numFmtId="0" fontId="24" fillId="0" borderId="31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63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2" borderId="0" xfId="0" applyFont="1" applyFill="1" applyAlignment="1">
      <alignment horizontal="center"/>
    </xf>
    <xf numFmtId="0" fontId="7" fillId="2" borderId="1" xfId="0" applyFont="1" applyFill="1" applyBorder="1"/>
    <xf numFmtId="49" fontId="7" fillId="2" borderId="1" xfId="0" applyNumberFormat="1" applyFont="1" applyFill="1" applyBorder="1" applyAlignment="1">
      <alignment horizontal="center"/>
    </xf>
    <xf numFmtId="0" fontId="7" fillId="2" borderId="0" xfId="0" applyFont="1" applyFill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0" fillId="2" borderId="0" xfId="0" applyFill="1"/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/>
    <xf numFmtId="178" fontId="2" fillId="0" borderId="4" xfId="0" applyNumberFormat="1" applyFont="1" applyBorder="1" applyAlignment="1">
      <alignment horizontal="center"/>
    </xf>
    <xf numFmtId="179" fontId="2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horizontal="center"/>
    </xf>
    <xf numFmtId="0" fontId="2" fillId="0" borderId="0" xfId="0" applyFont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/>
    <xf numFmtId="178" fontId="2" fillId="2" borderId="4" xfId="0" applyNumberFormat="1" applyFont="1" applyFill="1" applyBorder="1" applyAlignment="1">
      <alignment horizontal="center"/>
    </xf>
    <xf numFmtId="179" fontId="2" fillId="2" borderId="4" xfId="0" applyNumberFormat="1" applyFont="1" applyFill="1" applyBorder="1" applyAlignment="1">
      <alignment horizontal="center"/>
    </xf>
    <xf numFmtId="4" fontId="2" fillId="2" borderId="4" xfId="0" applyNumberFormat="1" applyFont="1" applyFill="1" applyBorder="1" applyAlignment="1">
      <alignment horizontal="center"/>
    </xf>
    <xf numFmtId="0" fontId="7" fillId="2" borderId="4" xfId="0" applyFont="1" applyFill="1" applyBorder="1"/>
    <xf numFmtId="4" fontId="7" fillId="2" borderId="4" xfId="0" applyNumberFormat="1" applyFont="1" applyFill="1" applyBorder="1" applyAlignment="1">
      <alignment horizontal="center"/>
    </xf>
    <xf numFmtId="2" fontId="2" fillId="2" borderId="4" xfId="0" applyNumberFormat="1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2" fontId="7" fillId="2" borderId="4" xfId="0" applyNumberFormat="1" applyFont="1" applyFill="1" applyBorder="1" applyAlignment="1">
      <alignment horizontal="center"/>
    </xf>
    <xf numFmtId="180" fontId="7" fillId="2" borderId="4" xfId="0" applyNumberFormat="1" applyFont="1" applyFill="1" applyBorder="1" applyAlignment="1">
      <alignment horizontal="center"/>
    </xf>
    <xf numFmtId="181" fontId="7" fillId="2" borderId="4" xfId="0" applyNumberFormat="1" applyFont="1" applyFill="1" applyBorder="1" applyAlignment="1">
      <alignment horizontal="center"/>
    </xf>
    <xf numFmtId="0" fontId="2" fillId="2" borderId="3" xfId="0" applyFont="1" applyFill="1" applyBorder="1"/>
    <xf numFmtId="0" fontId="7" fillId="2" borderId="3" xfId="0" applyFont="1" applyFill="1" applyBorder="1"/>
    <xf numFmtId="4" fontId="2" fillId="2" borderId="3" xfId="0" applyNumberFormat="1" applyFont="1" applyFill="1" applyBorder="1" applyAlignment="1">
      <alignment horizontal="center"/>
    </xf>
    <xf numFmtId="4" fontId="2" fillId="2" borderId="5" xfId="0" applyNumberFormat="1" applyFont="1" applyFill="1" applyBorder="1" applyAlignment="1">
      <alignment horizontal="center"/>
    </xf>
    <xf numFmtId="0" fontId="2" fillId="2" borderId="6" xfId="0" applyFont="1" applyFill="1" applyBorder="1"/>
    <xf numFmtId="0" fontId="2" fillId="2" borderId="6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right"/>
    </xf>
    <xf numFmtId="0" fontId="2" fillId="2" borderId="6" xfId="0" applyFont="1" applyFill="1" applyBorder="1" applyAlignment="1">
      <alignment horizontal="right"/>
    </xf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2" fontId="2" fillId="2" borderId="0" xfId="0" applyNumberFormat="1" applyFont="1" applyFill="1"/>
    <xf numFmtId="0" fontId="2" fillId="2" borderId="15" xfId="0" applyFont="1" applyFill="1" applyBorder="1"/>
    <xf numFmtId="0" fontId="2" fillId="2" borderId="16" xfId="0" applyFont="1" applyFill="1" applyBorder="1" applyAlignment="1">
      <alignment horizontal="right"/>
    </xf>
    <xf numFmtId="0" fontId="2" fillId="2" borderId="17" xfId="0" applyFont="1" applyFill="1" applyBorder="1"/>
    <xf numFmtId="0" fontId="2" fillId="2" borderId="18" xfId="0" applyFont="1" applyFill="1" applyBorder="1"/>
    <xf numFmtId="0" fontId="2" fillId="2" borderId="19" xfId="0" applyFont="1" applyFill="1" applyBorder="1"/>
    <xf numFmtId="0" fontId="2" fillId="2" borderId="20" xfId="0" applyFont="1" applyFill="1" applyBorder="1"/>
    <xf numFmtId="0" fontId="2" fillId="2" borderId="21" xfId="0" applyFont="1" applyFill="1" applyBorder="1"/>
    <xf numFmtId="0" fontId="2" fillId="2" borderId="22" xfId="0" applyFont="1" applyFill="1" applyBorder="1"/>
    <xf numFmtId="0" fontId="2" fillId="2" borderId="23" xfId="0" applyFont="1" applyFill="1" applyBorder="1"/>
    <xf numFmtId="0" fontId="9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5</xdr:col>
      <xdr:colOff>657224</xdr:colOff>
      <xdr:row>9</xdr:row>
      <xdr:rowOff>131450</xdr:rowOff>
    </xdr:to>
    <xdr:pic>
      <xdr:nvPicPr>
        <xdr:cNvPr id="4" name="Picture 3"/>
        <xdr:cNvPicPr>
          <a:picLocks noChangeAspect="1" noChangeArrowheads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47765" y="952500"/>
          <a:ext cx="656590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G58"/>
  <sheetViews>
    <sheetView tabSelected="1" zoomScale="93" zoomScaleNormal="93" topLeftCell="A5" workbookViewId="0">
      <selection activeCell="J17" sqref="J17"/>
    </sheetView>
  </sheetViews>
  <sheetFormatPr defaultColWidth="9" defaultRowHeight="13.2" outlineLevelCol="6"/>
  <cols>
    <col min="1" max="1" width="8.26851851851852" customWidth="1"/>
    <col min="2" max="2" width="21.7222222222222" customWidth="1"/>
    <col min="3" max="3" width="36.2037037037037" customWidth="1"/>
    <col min="4" max="4" width="11.4537037037037" customWidth="1"/>
    <col min="5" max="5" width="13.4537037037037" customWidth="1"/>
    <col min="6" max="6" width="10.5462962962963" customWidth="1"/>
  </cols>
  <sheetData>
    <row r="1" ht="17.4" spans="1:7">
      <c r="A1" s="2"/>
      <c r="B1" s="3" t="s">
        <v>0</v>
      </c>
      <c r="C1" s="4"/>
      <c r="D1" s="4"/>
      <c r="E1" s="2"/>
      <c r="F1" s="2"/>
      <c r="G1" s="2"/>
    </row>
    <row r="2" spans="1:7">
      <c r="A2" s="2"/>
      <c r="B2" s="2"/>
      <c r="C2" s="2"/>
      <c r="D2" s="2"/>
      <c r="E2" s="2"/>
      <c r="F2" s="2"/>
      <c r="G2" s="2"/>
    </row>
    <row r="3" ht="15.6" spans="1:7">
      <c r="A3" s="5" t="s">
        <v>1</v>
      </c>
      <c r="B3" s="2"/>
      <c r="C3" s="2"/>
      <c r="D3" s="2"/>
      <c r="E3" s="2"/>
      <c r="F3" s="2"/>
      <c r="G3" s="2"/>
    </row>
    <row r="4" spans="1:7">
      <c r="A4" s="6" t="s">
        <v>2</v>
      </c>
      <c r="B4" s="7"/>
      <c r="C4" s="2"/>
      <c r="D4" s="2"/>
      <c r="E4" s="2"/>
      <c r="F4" s="2"/>
      <c r="G4" s="2"/>
    </row>
    <row r="5" ht="15.6" spans="1:7">
      <c r="A5" s="7"/>
      <c r="B5" s="7"/>
      <c r="C5" s="8"/>
      <c r="D5" s="2"/>
      <c r="E5" s="2"/>
      <c r="F5" s="2"/>
      <c r="G5" s="2"/>
    </row>
    <row r="6" spans="1:7">
      <c r="A6" s="2"/>
      <c r="B6" s="9" t="s">
        <v>3</v>
      </c>
      <c r="C6" s="10" t="s">
        <v>4</v>
      </c>
      <c r="D6" s="11" t="s">
        <v>5</v>
      </c>
      <c r="E6" s="2"/>
      <c r="F6" s="2"/>
      <c r="G6" s="2"/>
    </row>
    <row r="7" spans="1:7">
      <c r="A7" s="2"/>
      <c r="B7" s="9"/>
      <c r="C7" s="12"/>
      <c r="D7" s="2"/>
      <c r="E7" s="2"/>
      <c r="F7" s="2"/>
      <c r="G7" s="2"/>
    </row>
    <row r="8" spans="1:7">
      <c r="A8" s="2"/>
      <c r="B8" s="7"/>
      <c r="C8" s="13"/>
      <c r="D8" s="2"/>
      <c r="E8" s="2"/>
      <c r="F8" s="2"/>
      <c r="G8" s="2"/>
    </row>
    <row r="9" spans="1:7">
      <c r="A9" s="2"/>
      <c r="B9" s="9" t="s">
        <v>6</v>
      </c>
      <c r="C9" s="12" t="s">
        <v>7</v>
      </c>
      <c r="D9" s="2" t="s">
        <v>8</v>
      </c>
      <c r="E9" s="2"/>
      <c r="F9" s="2"/>
      <c r="G9" s="2"/>
    </row>
    <row r="10" spans="1:7">
      <c r="A10" s="2"/>
      <c r="B10" s="9" t="s">
        <v>9</v>
      </c>
      <c r="C10" s="12"/>
      <c r="D10" s="7" t="s">
        <v>10</v>
      </c>
      <c r="E10" s="2"/>
      <c r="F10" s="2"/>
      <c r="G10" s="2"/>
    </row>
    <row r="11" spans="1:7">
      <c r="A11" s="2"/>
      <c r="B11" s="9" t="s">
        <v>11</v>
      </c>
      <c r="C11" s="12" t="s">
        <v>12</v>
      </c>
      <c r="D11" s="2"/>
      <c r="E11" s="2"/>
      <c r="F11" s="2"/>
      <c r="G11" s="2"/>
    </row>
    <row r="12" spans="1:7">
      <c r="A12" s="2"/>
      <c r="B12" s="9" t="s">
        <v>13</v>
      </c>
      <c r="C12" s="12" t="s">
        <v>14</v>
      </c>
      <c r="D12" s="2"/>
      <c r="E12" s="2"/>
      <c r="F12" s="2"/>
      <c r="G12" s="2"/>
    </row>
    <row r="13" spans="1:7">
      <c r="A13" s="2"/>
      <c r="B13" s="9" t="s">
        <v>15</v>
      </c>
      <c r="C13" s="14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ht="13.95" spans="2:6">
      <c r="B15" s="2"/>
      <c r="C15" s="2"/>
      <c r="E15" s="15"/>
      <c r="F15" s="15"/>
    </row>
    <row r="16" spans="1:7">
      <c r="A16" s="16" t="s">
        <v>16</v>
      </c>
      <c r="B16" s="16" t="s">
        <v>17</v>
      </c>
      <c r="C16" s="16" t="s">
        <v>18</v>
      </c>
      <c r="D16" s="16" t="s">
        <v>19</v>
      </c>
      <c r="E16" s="16" t="s">
        <v>20</v>
      </c>
      <c r="F16" s="16" t="s">
        <v>21</v>
      </c>
      <c r="G16" s="2"/>
    </row>
    <row r="17" ht="13.95" spans="1:7">
      <c r="A17" s="17"/>
      <c r="B17" s="17"/>
      <c r="C17" s="17" t="s">
        <v>22</v>
      </c>
      <c r="D17" s="17"/>
      <c r="E17" s="17" t="s">
        <v>23</v>
      </c>
      <c r="F17" s="17" t="s">
        <v>23</v>
      </c>
      <c r="G17" s="2"/>
    </row>
    <row r="18" spans="1:7">
      <c r="A18" s="18"/>
      <c r="B18" s="19" t="s">
        <v>24</v>
      </c>
      <c r="C18" s="20">
        <v>103</v>
      </c>
      <c r="D18" s="21" t="e">
        <f t="shared" ref="D18:D23" si="0">C18*$C$9/1000</f>
        <v>#VALUE!</v>
      </c>
      <c r="E18" s="22" t="e">
        <f t="shared" ref="E18:E23" si="1">D18*$C$12</f>
        <v>#VALUE!</v>
      </c>
      <c r="F18" s="22"/>
      <c r="G18" s="23"/>
    </row>
    <row r="19" spans="1:7">
      <c r="A19" s="18"/>
      <c r="B19" s="19" t="s">
        <v>25</v>
      </c>
      <c r="C19" s="20">
        <v>97</v>
      </c>
      <c r="D19" s="21" t="e">
        <f t="shared" si="0"/>
        <v>#VALUE!</v>
      </c>
      <c r="E19" s="22" t="e">
        <f t="shared" si="1"/>
        <v>#VALUE!</v>
      </c>
      <c r="F19" s="22"/>
      <c r="G19" s="23"/>
    </row>
    <row r="20" spans="1:7">
      <c r="A20" s="18"/>
      <c r="B20" s="19" t="s">
        <v>26</v>
      </c>
      <c r="C20" s="20">
        <v>450</v>
      </c>
      <c r="D20" s="21" t="e">
        <f t="shared" si="0"/>
        <v>#VALUE!</v>
      </c>
      <c r="E20" s="22" t="e">
        <f t="shared" si="1"/>
        <v>#VALUE!</v>
      </c>
      <c r="F20" s="22"/>
      <c r="G20" s="23"/>
    </row>
    <row r="21" spans="1:7">
      <c r="A21" s="18"/>
      <c r="B21" s="19" t="s">
        <v>27</v>
      </c>
      <c r="C21" s="20">
        <v>220</v>
      </c>
      <c r="D21" s="21" t="e">
        <f t="shared" si="0"/>
        <v>#VALUE!</v>
      </c>
      <c r="E21" s="22" t="e">
        <f t="shared" si="1"/>
        <v>#VALUE!</v>
      </c>
      <c r="F21" s="22"/>
      <c r="G21" s="23"/>
    </row>
    <row r="22" spans="1:7">
      <c r="A22" s="18"/>
      <c r="B22" s="19" t="s">
        <v>28</v>
      </c>
      <c r="C22" s="20">
        <v>115</v>
      </c>
      <c r="D22" s="21" t="e">
        <f t="shared" si="0"/>
        <v>#VALUE!</v>
      </c>
      <c r="E22" s="22" t="e">
        <f t="shared" si="1"/>
        <v>#VALUE!</v>
      </c>
      <c r="F22" s="22"/>
      <c r="G22" s="23"/>
    </row>
    <row r="23" spans="1:7">
      <c r="A23" s="24"/>
      <c r="B23" s="25"/>
      <c r="C23" s="26"/>
      <c r="D23" s="27" t="e">
        <f t="shared" si="0"/>
        <v>#VALUE!</v>
      </c>
      <c r="E23" s="28" t="e">
        <f t="shared" si="1"/>
        <v>#VALUE!</v>
      </c>
      <c r="F23" s="28"/>
      <c r="G23" s="2"/>
    </row>
    <row r="24" spans="1:7">
      <c r="A24" s="24"/>
      <c r="B24" s="29" t="s">
        <v>29</v>
      </c>
      <c r="C24" s="26">
        <f>SUM(C18:C23)</f>
        <v>985</v>
      </c>
      <c r="D24" s="27" t="e">
        <f t="shared" ref="D24:D39" si="2">C24*$C$9/1000</f>
        <v>#VALUE!</v>
      </c>
      <c r="E24" s="28" t="e">
        <f>SUM(E18:E23)</f>
        <v>#VALUE!</v>
      </c>
      <c r="F24" s="28"/>
      <c r="G24" s="2"/>
    </row>
    <row r="25" spans="1:7">
      <c r="A25" s="24"/>
      <c r="B25" s="25"/>
      <c r="C25" s="24"/>
      <c r="D25" s="27"/>
      <c r="E25" s="25"/>
      <c r="F25" s="25"/>
      <c r="G25" s="2"/>
    </row>
    <row r="26" spans="1:7">
      <c r="A26" s="24"/>
      <c r="B26" s="29" t="s">
        <v>30</v>
      </c>
      <c r="C26" s="24"/>
      <c r="D26" s="27"/>
      <c r="E26" s="25"/>
      <c r="F26" s="25"/>
      <c r="G26" s="2"/>
    </row>
    <row r="27" spans="1:7">
      <c r="A27" s="24"/>
      <c r="B27" s="25" t="s">
        <v>31</v>
      </c>
      <c r="C27" s="30" t="s">
        <v>32</v>
      </c>
      <c r="D27" s="28" t="e">
        <f t="shared" si="2"/>
        <v>#VALUE!</v>
      </c>
      <c r="E27" s="31" t="e">
        <f>D27*$C$12</f>
        <v>#VALUE!</v>
      </c>
      <c r="F27" s="31"/>
      <c r="G27" s="2"/>
    </row>
    <row r="28" s="1" customFormat="1" spans="1:7">
      <c r="A28" s="32"/>
      <c r="B28" s="29"/>
      <c r="C28" s="30">
        <v>0.3</v>
      </c>
      <c r="D28" s="30" t="e">
        <f t="shared" si="2"/>
        <v>#VALUE!</v>
      </c>
      <c r="E28" s="33" t="e">
        <f t="shared" ref="E28:E38" si="3">D28*$C$12</f>
        <v>#VALUE!</v>
      </c>
      <c r="F28" s="33"/>
      <c r="G28" s="7"/>
    </row>
    <row r="29" spans="1:7">
      <c r="A29" s="24"/>
      <c r="B29" s="29"/>
      <c r="C29" s="33">
        <v>0</v>
      </c>
      <c r="D29" s="30" t="e">
        <f t="shared" si="2"/>
        <v>#VALUE!</v>
      </c>
      <c r="E29" s="33" t="e">
        <f t="shared" si="3"/>
        <v>#VALUE!</v>
      </c>
      <c r="F29" s="31"/>
      <c r="G29" s="2"/>
    </row>
    <row r="30" spans="1:7">
      <c r="A30" s="24"/>
      <c r="B30" s="29" t="s">
        <v>33</v>
      </c>
      <c r="C30" s="30" t="s">
        <v>34</v>
      </c>
      <c r="D30" s="30" t="e">
        <f t="shared" si="2"/>
        <v>#VALUE!</v>
      </c>
      <c r="E30" s="33" t="e">
        <f t="shared" si="3"/>
        <v>#VALUE!</v>
      </c>
      <c r="F30" s="31"/>
      <c r="G30" s="2"/>
    </row>
    <row r="31" spans="1:7">
      <c r="A31" s="32"/>
      <c r="B31" s="29" t="s">
        <v>35</v>
      </c>
      <c r="C31" s="30">
        <v>0</v>
      </c>
      <c r="D31" s="30" t="e">
        <f t="shared" si="2"/>
        <v>#VALUE!</v>
      </c>
      <c r="E31" s="33" t="e">
        <f t="shared" si="3"/>
        <v>#VALUE!</v>
      </c>
      <c r="F31" s="31"/>
      <c r="G31" s="2"/>
    </row>
    <row r="32" spans="1:7">
      <c r="A32" s="24"/>
      <c r="B32" s="29" t="s">
        <v>36</v>
      </c>
      <c r="C32" s="30" t="s">
        <v>37</v>
      </c>
      <c r="D32" s="30" t="e">
        <f t="shared" si="2"/>
        <v>#VALUE!</v>
      </c>
      <c r="E32" s="33" t="e">
        <f t="shared" si="3"/>
        <v>#VALUE!</v>
      </c>
      <c r="F32" s="31"/>
      <c r="G32" s="2"/>
    </row>
    <row r="33" spans="1:7">
      <c r="A33" s="24"/>
      <c r="B33" s="29" t="s">
        <v>38</v>
      </c>
      <c r="C33" s="30">
        <v>0</v>
      </c>
      <c r="D33" s="30" t="e">
        <f t="shared" si="2"/>
        <v>#VALUE!</v>
      </c>
      <c r="E33" s="33" t="e">
        <f t="shared" si="3"/>
        <v>#VALUE!</v>
      </c>
      <c r="F33" s="31"/>
      <c r="G33" s="2"/>
    </row>
    <row r="34" spans="1:7">
      <c r="A34" s="24"/>
      <c r="B34" s="29" t="s">
        <v>39</v>
      </c>
      <c r="C34" s="30" t="s">
        <v>40</v>
      </c>
      <c r="D34" s="30" t="e">
        <f t="shared" si="2"/>
        <v>#VALUE!</v>
      </c>
      <c r="E34" s="33" t="e">
        <f t="shared" si="3"/>
        <v>#VALUE!</v>
      </c>
      <c r="F34" s="31"/>
      <c r="G34" s="2"/>
    </row>
    <row r="35" spans="1:7">
      <c r="A35" s="24"/>
      <c r="B35" s="29" t="s">
        <v>41</v>
      </c>
      <c r="C35" s="30">
        <v>5</v>
      </c>
      <c r="D35" s="30" t="e">
        <f t="shared" si="2"/>
        <v>#VALUE!</v>
      </c>
      <c r="E35" s="33" t="e">
        <f t="shared" si="3"/>
        <v>#VALUE!</v>
      </c>
      <c r="F35" s="31"/>
      <c r="G35" s="2"/>
    </row>
    <row r="36" spans="1:7">
      <c r="A36" s="24"/>
      <c r="B36" s="29"/>
      <c r="C36" s="34">
        <v>0</v>
      </c>
      <c r="D36" s="35" t="e">
        <f t="shared" si="2"/>
        <v>#VALUE!</v>
      </c>
      <c r="E36" s="33" t="e">
        <f t="shared" si="3"/>
        <v>#VALUE!</v>
      </c>
      <c r="F36" s="31"/>
      <c r="G36" s="2"/>
    </row>
    <row r="37" spans="1:7">
      <c r="A37" s="24"/>
      <c r="B37" s="29"/>
      <c r="C37" s="30">
        <v>0</v>
      </c>
      <c r="D37" s="30" t="e">
        <f t="shared" si="2"/>
        <v>#VALUE!</v>
      </c>
      <c r="E37" s="33" t="e">
        <f t="shared" si="3"/>
        <v>#VALUE!</v>
      </c>
      <c r="F37" s="31"/>
      <c r="G37" s="2"/>
    </row>
    <row r="38" spans="1:7">
      <c r="A38" s="24"/>
      <c r="B38" s="29"/>
      <c r="C38" s="33">
        <v>0</v>
      </c>
      <c r="D38" s="30" t="e">
        <f t="shared" si="2"/>
        <v>#VALUE!</v>
      </c>
      <c r="E38" s="33" t="e">
        <f t="shared" si="3"/>
        <v>#VALUE!</v>
      </c>
      <c r="F38" s="25"/>
      <c r="G38" s="2"/>
    </row>
    <row r="39" ht="13.95" spans="1:7">
      <c r="A39" s="36"/>
      <c r="B39" s="37" t="s">
        <v>42</v>
      </c>
      <c r="C39" s="38">
        <f>SUM(C24:C38)</f>
        <v>990.3</v>
      </c>
      <c r="D39" s="39" t="e">
        <f t="shared" si="2"/>
        <v>#VALUE!</v>
      </c>
      <c r="E39" s="38" t="e">
        <f>SUM(E24:E38)</f>
        <v>#VALUE!</v>
      </c>
      <c r="F39" s="38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40" t="s">
        <v>43</v>
      </c>
      <c r="B41" s="40"/>
      <c r="C41" s="41"/>
      <c r="D41" s="2"/>
      <c r="E41" s="2" t="s">
        <v>44</v>
      </c>
      <c r="F41" s="2"/>
      <c r="G41" s="2"/>
    </row>
    <row r="42" spans="1:7">
      <c r="A42" s="40" t="s">
        <v>45</v>
      </c>
      <c r="B42" s="40"/>
      <c r="C42" s="42"/>
      <c r="D42" s="2"/>
      <c r="E42" s="2"/>
      <c r="F42" s="2"/>
      <c r="G42" s="2"/>
    </row>
    <row r="43" spans="1:7">
      <c r="A43" s="40" t="s">
        <v>46</v>
      </c>
      <c r="B43" s="40"/>
      <c r="C43" s="43"/>
      <c r="D43" s="2"/>
      <c r="E43" s="44"/>
      <c r="F43" s="45"/>
      <c r="G43" s="46"/>
    </row>
    <row r="44" spans="1:7">
      <c r="A44" s="40" t="s">
        <v>47</v>
      </c>
      <c r="B44" s="40"/>
      <c r="C44" s="40"/>
      <c r="D44" s="2"/>
      <c r="E44" s="47"/>
      <c r="F44" s="2"/>
      <c r="G44" s="48"/>
    </row>
    <row r="45" spans="1:7">
      <c r="A45" s="2"/>
      <c r="B45" s="2"/>
      <c r="C45" s="2"/>
      <c r="D45" s="2"/>
      <c r="E45" s="47"/>
      <c r="F45" s="2"/>
      <c r="G45" s="48"/>
    </row>
    <row r="46" spans="1:7">
      <c r="A46" s="2"/>
      <c r="B46" s="2"/>
      <c r="C46" s="2"/>
      <c r="D46" s="2"/>
      <c r="E46" s="49"/>
      <c r="F46" s="50"/>
      <c r="G46" s="51"/>
    </row>
    <row r="47" spans="1:7">
      <c r="A47" s="40" t="s">
        <v>48</v>
      </c>
      <c r="B47" s="43"/>
      <c r="C47" s="40"/>
      <c r="D47" s="2" t="s">
        <v>49</v>
      </c>
      <c r="E47" s="2"/>
      <c r="F47" s="2"/>
      <c r="G47" s="2"/>
    </row>
    <row r="48" spans="1:7">
      <c r="A48" s="40" t="s">
        <v>50</v>
      </c>
      <c r="B48" s="43"/>
      <c r="C48" s="40"/>
      <c r="D48" s="2" t="s">
        <v>49</v>
      </c>
      <c r="E48" s="2" t="s">
        <v>51</v>
      </c>
      <c r="F48" s="52"/>
      <c r="G48" s="2"/>
    </row>
    <row r="49" spans="1:7">
      <c r="A49" s="53" t="s">
        <v>52</v>
      </c>
      <c r="B49" s="54"/>
      <c r="C49" s="40"/>
      <c r="D49" s="2" t="s">
        <v>49</v>
      </c>
      <c r="E49" s="2" t="s">
        <v>53</v>
      </c>
      <c r="F49" s="52"/>
      <c r="G49" s="2"/>
    </row>
    <row r="50" spans="1:7">
      <c r="A50" s="40" t="s">
        <v>54</v>
      </c>
      <c r="B50" s="40"/>
      <c r="C50" s="40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7" t="s">
        <v>55</v>
      </c>
      <c r="B52" s="7"/>
      <c r="C52" s="2"/>
      <c r="D52" s="2"/>
      <c r="E52" s="2"/>
      <c r="F52" s="2"/>
      <c r="G52" s="2"/>
    </row>
    <row r="53" spans="1:7">
      <c r="A53" s="55" t="s">
        <v>56</v>
      </c>
      <c r="B53" s="56" t="s">
        <v>57</v>
      </c>
      <c r="C53" s="57"/>
      <c r="D53" s="57"/>
      <c r="E53" s="57"/>
      <c r="F53" s="56" t="s">
        <v>58</v>
      </c>
      <c r="G53" s="58"/>
    </row>
    <row r="54" spans="1:7">
      <c r="A54" s="59"/>
      <c r="B54" s="53"/>
      <c r="C54" s="60"/>
      <c r="D54" s="60"/>
      <c r="E54" s="60"/>
      <c r="F54" s="53"/>
      <c r="G54" s="61"/>
    </row>
    <row r="55" spans="1:7">
      <c r="A55" s="59"/>
      <c r="B55" s="53"/>
      <c r="C55" s="60"/>
      <c r="D55" s="60"/>
      <c r="E55" s="60"/>
      <c r="F55" s="53"/>
      <c r="G55" s="61"/>
    </row>
    <row r="56" spans="1:7">
      <c r="A56" s="23"/>
      <c r="B56" s="23"/>
      <c r="C56" s="23"/>
      <c r="D56" s="23"/>
      <c r="E56" s="23"/>
      <c r="F56" s="23"/>
      <c r="G56" s="23"/>
    </row>
    <row r="57" spans="1:7">
      <c r="A57" s="62" t="s">
        <v>59</v>
      </c>
      <c r="B57" s="62"/>
      <c r="D57" s="62"/>
      <c r="E57" s="62"/>
      <c r="F57" s="62" t="s">
        <v>60</v>
      </c>
      <c r="G57" s="62"/>
    </row>
    <row r="58" spans="1:7">
      <c r="A58" s="62" t="s">
        <v>61</v>
      </c>
      <c r="B58" s="62"/>
      <c r="D58" s="62"/>
      <c r="E58" s="62"/>
      <c r="F58" s="62"/>
      <c r="G58" s="62"/>
    </row>
  </sheetData>
  <pageMargins left="0.75" right="0.75" top="0.5" bottom="0.5" header="0.5" footer="0.5"/>
  <pageSetup paperSize="1" scale="86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2"/>
  <sheetData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2"/>
  <sheetData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Jomitco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ghaly2</cp:lastModifiedBy>
  <dcterms:created xsi:type="dcterms:W3CDTF">2003-02-07T20:57:00Z</dcterms:created>
  <cp:lastPrinted>2024-03-09T09:12:00Z</cp:lastPrinted>
  <dcterms:modified xsi:type="dcterms:W3CDTF">2026-10-01T08:14:46Z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CBE404B053FE4F9D9604ECE7B617CBB5_12</vt:lpwstr>
  </property>
  <property fmtid="{D5CDD505-2E9C-101B-9397-08002B2CF9AE}" pid="3" name="KSOProductBuildVer">
    <vt:lpwstr>2057-12.2.0.23206</vt:lpwstr>
  </property>
</Properties>
</file>