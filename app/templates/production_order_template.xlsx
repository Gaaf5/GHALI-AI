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8400"/>
  </bookViews>
  <sheets>
    <sheet sheetId="1" name="Sheet1" state="visible" r:id="rId4"/>
    <sheet sheetId="2" name="Sheet2" state="visible" r:id="rId5"/>
    <sheet sheetId="3" name="Sheet3" state="visible" r:id="rId6"/>
  </sheets>
  <definedNames>
    <definedName name="_xlnm.Print_Area" localSheetId="0">'Sheet1'!$A1:$H58</definedName>
  </definedNames>
  <calcPr calcId="171027"/>
</workbook>
</file>

<file path=xl/sharedStrings.xml><?xml version="1.0" encoding="utf-8"?>
<sst xmlns="http://schemas.openxmlformats.org/spreadsheetml/2006/main" count="65" uniqueCount="62">
  <si>
    <t>Manaseer Natural Solutions MNS Factory</t>
  </si>
  <si>
    <t>Production Report</t>
  </si>
  <si>
    <t>Date: 18/6/2025</t>
  </si>
  <si>
    <t>Formula:-</t>
  </si>
  <si>
    <t>هون يتم كتابة التركيبه</t>
  </si>
  <si>
    <t>هون اللون</t>
  </si>
  <si>
    <t>Kg / batch:-</t>
  </si>
  <si>
    <t>رقم الباتش يعني مقدار حجم الخلطه التي تتسع في الخلاط</t>
  </si>
  <si>
    <t>هون اسم العميل</t>
  </si>
  <si>
    <t>Order no.:-</t>
  </si>
  <si>
    <t>هون اسم البراند و حجم كيس التعبئة</t>
  </si>
  <si>
    <t>Required quantity(Kg)</t>
  </si>
  <si>
    <t xml:space="preserve">هون الكمية المطلوبه </t>
  </si>
  <si>
    <t>No. of batches:-</t>
  </si>
  <si>
    <t>هون الكمية المطلوبه مقسومه على حجم الباتش</t>
  </si>
  <si>
    <t>Kg produced:-</t>
  </si>
  <si>
    <t>Silo no.</t>
  </si>
  <si>
    <t>Raw material</t>
  </si>
  <si>
    <t>Kg / ton</t>
  </si>
  <si>
    <t>Kg / batch</t>
  </si>
  <si>
    <t>Total theo.</t>
  </si>
  <si>
    <t>Total actual</t>
  </si>
  <si>
    <t>Basis 1000Kg</t>
  </si>
  <si>
    <t>kg</t>
  </si>
  <si>
    <t>Urea</t>
  </si>
  <si>
    <t>MAP</t>
  </si>
  <si>
    <t>NOP</t>
  </si>
  <si>
    <t>SOP</t>
  </si>
  <si>
    <t>MKP</t>
  </si>
  <si>
    <t>Sub total:-</t>
  </si>
  <si>
    <t>Additives:-</t>
  </si>
  <si>
    <t>Red Color</t>
  </si>
  <si>
    <t>بالنسبة ل اللون بدي خيار اختار منه اللون</t>
  </si>
  <si>
    <t>Foom Silica</t>
  </si>
  <si>
    <t>يكون خيار يتم تعبئة مجرد رقم فيه من خلال الفورميشن</t>
  </si>
  <si>
    <t>MgSO4 33%</t>
  </si>
  <si>
    <t>Aquamine</t>
  </si>
  <si>
    <t xml:space="preserve">وهاي نفسهم </t>
  </si>
  <si>
    <t>Fe EDDHA 6%</t>
  </si>
  <si>
    <t>Disper Chlorophy</t>
  </si>
  <si>
    <t>وهاي كذلك لانهم مجرد عناصر</t>
  </si>
  <si>
    <t>TE- MIX EDTA</t>
  </si>
  <si>
    <t>Total</t>
  </si>
  <si>
    <t>Total No. of bags produced (20Kg)</t>
  </si>
  <si>
    <t>Marks</t>
  </si>
  <si>
    <t>type of bags</t>
  </si>
  <si>
    <t>No. of pallets Produced :-</t>
  </si>
  <si>
    <t>No. of bags per pallet:-</t>
  </si>
  <si>
    <t>Total production =</t>
  </si>
  <si>
    <t>Kg</t>
  </si>
  <si>
    <t>Reusable waste =</t>
  </si>
  <si>
    <t>Invesible waste =</t>
  </si>
  <si>
    <t>waste =</t>
  </si>
  <si>
    <t>Defect (%) =</t>
  </si>
  <si>
    <t>total working hours =</t>
  </si>
  <si>
    <t>Brackdown details</t>
  </si>
  <si>
    <t>No.</t>
  </si>
  <si>
    <t>Description</t>
  </si>
  <si>
    <t>Stopping Hours</t>
  </si>
  <si>
    <t>Control room</t>
  </si>
  <si>
    <t>Plant Manager</t>
  </si>
  <si>
    <t>supervisor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</si>
</sst>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_);[Red](#,##0.0)"/>
    <numFmt numFmtId="165" formatCode="#,##0.0"/>
    <numFmt numFmtId="166" formatCode="#,##0.000"/>
    <numFmt numFmtId="167" formatCode="#,##0.0000"/>
  </numFmts>
  <fonts count="11" x14ac:knownFonts="1">
    <font>
      <color theme="1"/>
      <family val="2"/>
      <scheme val="minor"/>
      <sz val="11"/>
      <name val="Calibri"/>
    </font>
    <font>
      <charset val="134"/>
      <sz val="10"/>
      <name val="Times New Roman"/>
    </font>
    <font>
      <b/>
      <u/>
      <charset val="134"/>
      <sz val="14"/>
      <name val="Times New Roman"/>
    </font>
    <font>
      <b/>
      <charset val="134"/>
      <sz val="14"/>
      <name val="Times New Roman"/>
    </font>
    <font>
      <b/>
      <u/>
      <charset val="134"/>
      <sz val="12"/>
      <name val="Times New Roman"/>
    </font>
    <font>
      <b/>
      <u/>
      <charset val="134"/>
      <sz val="10"/>
      <name val="Times New Roman"/>
    </font>
    <font>
      <b/>
      <charset val="134"/>
      <sz val="10"/>
      <name val="Times New Roman"/>
    </font>
    <font>
      <b/>
      <charset val="134"/>
      <sz val="12"/>
      <name val="Times New Roman"/>
    </font>
    <font>
      <charset val="134"/>
      <sz val="10"/>
      <name val="Arial"/>
    </font>
    <font>
      <b/>
      <charset val="134"/>
      <sz val="10"/>
      <name val="Arial"/>
    </font>
    <font>
      <b/>
      <i/>
      <charset val="134"/>
      <sz val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 style="medium"/>
      <diagonal/>
    </border>
    <border>
      <left style="medium"/>
      <right style="medium"/>
      <top style="dashed"/>
      <bottom style="dashed"/>
      <diagonal/>
    </border>
    <border>
      <left style="medium"/>
      <right style="medium"/>
      <top style="dashed"/>
      <bottom style="medium"/>
      <diagonal/>
    </border>
    <border>
      <left style="dashed"/>
      <right style="dashed"/>
      <top style="dashed"/>
      <bottom style="dashed"/>
      <diagonal/>
    </border>
    <border>
      <left style="dashed"/>
      <right/>
      <top style="dashed"/>
      <bottom/>
      <diagonal/>
    </border>
    <border>
      <left/>
      <right/>
      <top style="dashed"/>
      <bottom/>
      <diagonal/>
    </border>
    <border>
      <left/>
      <right style="dashed"/>
      <top style="dashed"/>
      <bottom/>
      <diagonal/>
    </border>
    <border>
      <left style="dashed"/>
      <right/>
      <top/>
      <bottom/>
      <diagonal/>
    </border>
    <border>
      <left/>
      <right style="dashed"/>
      <top/>
      <bottom/>
      <diagonal/>
    </border>
    <border>
      <left style="dashed"/>
      <right/>
      <top/>
      <bottom style="dashed"/>
      <diagonal/>
    </border>
    <border>
      <left/>
      <right/>
      <top/>
      <bottom style="dashed"/>
      <diagonal/>
    </border>
    <border>
      <left/>
      <right style="dashed"/>
      <top/>
      <bottom style="dashed"/>
      <diagonal/>
    </border>
    <border>
      <left style="dashed"/>
      <right/>
      <top style="dashed"/>
      <bottom style="dashed"/>
      <diagonal/>
    </border>
    <border>
      <left/>
      <right style="dashed"/>
      <top style="dashed"/>
      <bottom style="dashed"/>
      <diagonal/>
    </border>
    <border>
      <left style="thin"/>
      <right style="dashed"/>
      <top style="thin"/>
      <bottom style="dashed"/>
      <diagonal/>
    </border>
    <border>
      <left style="dashed"/>
      <right/>
      <top style="thin"/>
      <bottom style="dashed"/>
      <diagonal/>
    </border>
    <border>
      <left/>
      <right/>
      <top style="thin"/>
      <bottom style="dashed"/>
      <diagonal/>
    </border>
    <border>
      <left/>
      <right style="thin"/>
      <top style="thin"/>
      <bottom style="dashed"/>
      <diagonal/>
    </border>
    <border>
      <left style="thin"/>
      <right style="dashed"/>
      <top style="dashed"/>
      <bottom style="dashed"/>
      <diagonal/>
    </border>
    <border>
      <left/>
      <right/>
      <top style="dashed"/>
      <bottom style="dashed"/>
      <diagonal/>
    </border>
    <border>
      <left/>
      <right style="thin"/>
      <top style="dashed"/>
      <bottom style="dashed"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 applyAlignment="1">
      <alignment horizontal="center"/>
    </xf>
    <xf numFmtId="0" fontId="6" fillId="2" borderId="1" xfId="0" applyFont="1" applyFill="1" applyBorder="1"/>
    <xf numFmtId="49" fontId="6" fillId="2" borderId="1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8" fillId="2" borderId="0" xfId="0" applyFont="1" applyFill="1"/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5" fontId="1" fillId="0" borderId="4" xfId="0" applyNumberFormat="1" applyFont="1" applyBorder="1" applyAlignment="1">
      <alignment horizontal="center"/>
    </xf>
    <xf numFmtId="4" fontId="1" fillId="0" borderId="4" xfId="0" applyNumberFormat="1" applyFont="1" applyBorder="1" applyAlignment="1">
      <alignment horizontal="center"/>
    </xf>
    <xf numFmtId="0" fontId="1" fillId="0" borderId="0" xfId="0" applyFont="1"/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/>
    <xf numFmtId="164" fontId="1" fillId="2" borderId="4" xfId="0" applyNumberFormat="1" applyFont="1" applyFill="1" applyBorder="1" applyAlignment="1">
      <alignment horizontal="center"/>
    </xf>
    <xf numFmtId="165" fontId="1" fillId="2" borderId="4" xfId="0" applyNumberFormat="1" applyFont="1" applyFill="1" applyBorder="1" applyAlignment="1">
      <alignment horizontal="center"/>
    </xf>
    <xf numFmtId="4" fontId="1" fillId="2" borderId="4" xfId="0" applyNumberFormat="1" applyFont="1" applyFill="1" applyBorder="1" applyAlignment="1">
      <alignment horizontal="center"/>
    </xf>
    <xf numFmtId="0" fontId="6" fillId="2" borderId="4" xfId="0" applyFont="1" applyFill="1" applyBorder="1"/>
    <xf numFmtId="4" fontId="6" fillId="2" borderId="4" xfId="0" applyNumberFormat="1" applyFont="1" applyFill="1" applyBorder="1" applyAlignment="1">
      <alignment horizontal="center"/>
    </xf>
    <xf numFmtId="2" fontId="1" fillId="2" borderId="4" xfId="0" applyNumberFormat="1" applyFont="1" applyFill="1" applyBorder="1" applyAlignment="1">
      <alignment horizontal="center"/>
    </xf>
    <xf numFmtId="0" fontId="9" fillId="0" borderId="0" xfId="0" applyFont="1"/>
    <xf numFmtId="0" fontId="6" fillId="2" borderId="4" xfId="0" applyFont="1" applyFill="1" applyBorder="1" applyAlignment="1">
      <alignment horizontal="center"/>
    </xf>
    <xf numFmtId="2" fontId="6" fillId="2" borderId="4" xfId="0" applyNumberFormat="1" applyFont="1" applyFill="1" applyBorder="1" applyAlignment="1">
      <alignment horizontal="center"/>
    </xf>
    <xf numFmtId="166" fontId="6" fillId="2" borderId="4" xfId="0" applyNumberFormat="1" applyFont="1" applyFill="1" applyBorder="1" applyAlignment="1">
      <alignment horizontal="center"/>
    </xf>
    <xf numFmtId="167" fontId="6" fillId="2" borderId="4" xfId="0" applyNumberFormat="1" applyFont="1" applyFill="1" applyBorder="1" applyAlignment="1">
      <alignment horizontal="center"/>
    </xf>
    <xf numFmtId="0" fontId="1" fillId="2" borderId="3" xfId="0" applyFont="1" applyFill="1" applyBorder="1"/>
    <xf numFmtId="0" fontId="6" fillId="2" borderId="3" xfId="0" applyFont="1" applyFill="1" applyBorder="1"/>
    <xf numFmtId="4" fontId="1" fillId="2" borderId="3" xfId="0" applyNumberFormat="1" applyFont="1" applyFill="1" applyBorder="1" applyAlignment="1">
      <alignment horizontal="center"/>
    </xf>
    <xf numFmtId="4" fontId="1" fillId="2" borderId="5" xfId="0" applyNumberFormat="1" applyFont="1" applyFill="1" applyBorder="1" applyAlignment="1">
      <alignment horizontal="center"/>
    </xf>
    <xf numFmtId="0" fontId="1" fillId="2" borderId="6" xfId="0" applyFont="1" applyFill="1" applyBorder="1"/>
    <xf numFmtId="0" fontId="1" fillId="2" borderId="6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right"/>
    </xf>
    <xf numFmtId="0" fontId="1" fillId="2" borderId="6" xfId="0" applyFont="1" applyFill="1" applyBorder="1" applyAlignment="1">
      <alignment horizontal="right"/>
    </xf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2" fontId="1" fillId="2" borderId="0" xfId="0" applyNumberFormat="1" applyFont="1" applyFill="1"/>
    <xf numFmtId="0" fontId="1" fillId="2" borderId="15" xfId="0" applyFont="1" applyFill="1" applyBorder="1"/>
    <xf numFmtId="0" fontId="1" fillId="2" borderId="16" xfId="0" applyFont="1" applyFill="1" applyBorder="1" applyAlignment="1">
      <alignment horizontal="right"/>
    </xf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2" borderId="20" xfId="0" applyFont="1" applyFill="1" applyBorder="1"/>
    <xf numFmtId="0" fontId="1" fillId="2" borderId="21" xfId="0" applyFont="1" applyFill="1" applyBorder="1"/>
    <xf numFmtId="0" fontId="1" fillId="2" borderId="22" xfId="0" applyFont="1" applyFill="1" applyBorder="1"/>
    <xf numFmtId="0" fontId="1" fillId="2" borderId="23" xfId="0" applyFont="1" applyFill="1" applyBorder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</xdr:row>
      <xdr:rowOff>0</xdr:rowOff>
    </xdr:from>
    <xdr:to>
      <xdr:col>5</xdr:col>
      <xdr:colOff>657224</xdr:colOff>
      <xdr:row>9</xdr:row>
      <xdr:rowOff>131450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8"/>
  <sheetViews>
    <sheetView workbookViewId="0" zoomScale="93" zoomScaleNormal="93">
      <selection activeCell="J17" sqref="J17"/>
    </sheetView>
  </sheetViews>
  <sheetFormatPr defaultRowHeight="13.2" outlineLevelRow="0" outlineLevelCol="6" x14ac:dyDescent="0" defaultColWidth="9" customHeight="1"/>
  <cols>
    <col min="1" max="1" width="8.26851851851852" customWidth="1"/>
    <col min="2" max="2" width="21.7222222222222" customWidth="1"/>
    <col min="3" max="3" width="36.2037037037037" customWidth="1"/>
    <col min="4" max="4" width="11.4537037037037" customWidth="1"/>
    <col min="5" max="5" width="13.4537037037037" customWidth="1"/>
    <col min="6" max="6" width="10.5462962962963" customWidth="1"/>
  </cols>
  <sheetData>
    <row r="1" ht="17.4" customHeight="1" spans="1:7" x14ac:dyDescent="0.25">
      <c r="A1" s="1"/>
      <c r="B1" s="2" t="s">
        <v>0</v>
      </c>
      <c r="C1" s="3"/>
      <c r="D1" s="3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ht="15.6" customHeight="1" spans="1:7" x14ac:dyDescent="0.25">
      <c r="A3" s="4" t="s">
        <v>1</v>
      </c>
      <c r="B3" s="1"/>
      <c r="C3" s="1"/>
      <c r="D3" s="1"/>
      <c r="E3" s="1"/>
      <c r="F3" s="1"/>
      <c r="G3" s="1"/>
    </row>
    <row r="4" spans="1:7" x14ac:dyDescent="0.25">
      <c r="A4" s="5" t="s">
        <v>2</v>
      </c>
      <c r="B4" s="6"/>
      <c r="C4" s="1"/>
      <c r="D4" s="1"/>
      <c r="E4" s="1"/>
      <c r="F4" s="1"/>
      <c r="G4" s="1"/>
    </row>
    <row r="5" ht="15.6" customHeight="1" spans="1:7" x14ac:dyDescent="0.25">
      <c r="A5" s="6"/>
      <c r="B5" s="6"/>
      <c r="C5" s="7"/>
      <c r="D5" s="1"/>
      <c r="E5" s="1"/>
      <c r="F5" s="1"/>
      <c r="G5" s="1"/>
    </row>
    <row r="6" spans="1:7" x14ac:dyDescent="0.25">
      <c r="A6" s="1"/>
      <c r="B6" s="8" t="s">
        <v>3</v>
      </c>
      <c r="C6" s="9" t="s">
        <v>4</v>
      </c>
      <c r="D6" s="10" t="s">
        <v>5</v>
      </c>
      <c r="E6" s="1"/>
      <c r="F6" s="1"/>
      <c r="G6" s="1"/>
    </row>
    <row r="7" spans="1:7" x14ac:dyDescent="0.25">
      <c r="A7" s="1"/>
      <c r="B7" s="8"/>
      <c r="C7" s="11"/>
      <c r="D7" s="1"/>
      <c r="E7" s="1"/>
      <c r="F7" s="1"/>
      <c r="G7" s="1"/>
    </row>
    <row r="8" spans="1:7" x14ac:dyDescent="0.25">
      <c r="A8" s="1"/>
      <c r="B8" s="6"/>
      <c r="C8" s="12"/>
      <c r="D8" s="1"/>
      <c r="E8" s="1"/>
      <c r="F8" s="1"/>
      <c r="G8" s="1"/>
    </row>
    <row r="9" spans="1:7" x14ac:dyDescent="0.25">
      <c r="A9" s="1"/>
      <c r="B9" s="8" t="s">
        <v>6</v>
      </c>
      <c r="C9" s="11" t="s">
        <v>7</v>
      </c>
      <c r="D9" s="1" t="s">
        <v>8</v>
      </c>
      <c r="E9" s="1"/>
      <c r="F9" s="1"/>
      <c r="G9" s="1"/>
    </row>
    <row r="10" spans="1:7" x14ac:dyDescent="0.25">
      <c r="A10" s="1"/>
      <c r="B10" s="8" t="s">
        <v>9</v>
      </c>
      <c r="C10" s="11"/>
      <c r="D10" s="6" t="s">
        <v>10</v>
      </c>
      <c r="E10" s="1"/>
      <c r="F10" s="1"/>
      <c r="G10" s="1"/>
    </row>
    <row r="11" spans="1:7" x14ac:dyDescent="0.25">
      <c r="A11" s="1"/>
      <c r="B11" s="8" t="s">
        <v>11</v>
      </c>
      <c r="C11" s="11" t="s">
        <v>12</v>
      </c>
      <c r="D11" s="1"/>
      <c r="E11" s="1"/>
      <c r="F11" s="1"/>
      <c r="G11" s="1"/>
    </row>
    <row r="12" spans="1:7" x14ac:dyDescent="0.25">
      <c r="A12" s="1"/>
      <c r="B12" s="8" t="s">
        <v>13</v>
      </c>
      <c r="C12" s="11" t="s">
        <v>14</v>
      </c>
      <c r="D12" s="1"/>
      <c r="E12" s="1"/>
      <c r="F12" s="1"/>
      <c r="G12" s="1"/>
    </row>
    <row r="13" spans="1:7" x14ac:dyDescent="0.25">
      <c r="A13" s="1"/>
      <c r="B13" s="8" t="s">
        <v>15</v>
      </c>
      <c r="C13" s="13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ht="13.95" customHeight="1" spans="2:6" x14ac:dyDescent="0.25">
      <c r="B15" s="1"/>
      <c r="C15" s="1"/>
      <c r="E15" s="14"/>
      <c r="F15" s="14"/>
    </row>
    <row r="16" spans="1:7" x14ac:dyDescent="0.25">
      <c r="A16" s="15" t="s">
        <v>16</v>
      </c>
      <c r="B16" s="15" t="s">
        <v>17</v>
      </c>
      <c r="C16" s="15" t="s">
        <v>18</v>
      </c>
      <c r="D16" s="15" t="s">
        <v>19</v>
      </c>
      <c r="E16" s="15" t="s">
        <v>20</v>
      </c>
      <c r="F16" s="15" t="s">
        <v>21</v>
      </c>
      <c r="G16" s="1"/>
    </row>
    <row r="17" ht="13.95" customHeight="1" spans="1:7" x14ac:dyDescent="0.25">
      <c r="A17" s="16"/>
      <c r="B17" s="16"/>
      <c r="C17" s="16" t="s">
        <v>22</v>
      </c>
      <c r="D17" s="16"/>
      <c r="E17" s="16" t="s">
        <v>23</v>
      </c>
      <c r="F17" s="16" t="s">
        <v>23</v>
      </c>
      <c r="G17" s="1"/>
    </row>
    <row r="18" spans="1:7" x14ac:dyDescent="0.25">
      <c r="A18" s="17"/>
      <c r="B18" s="18" t="s">
        <v>24</v>
      </c>
      <c r="C18" s="19">
        <v>103</v>
      </c>
      <c r="D18" s="20" t="e">
        <f t="shared" ref="D18:D23" si="0">C18*$C$9/1000</f>
        <v>#VALUE!</v>
      </c>
      <c r="E18" s="21" t="e">
        <f t="shared" ref="E18:E23" si="1">D18*$C$12</f>
        <v>#VALUE!</v>
      </c>
      <c r="F18" s="21"/>
      <c r="G18" s="22"/>
    </row>
    <row r="19" spans="1:7" x14ac:dyDescent="0.25">
      <c r="A19" s="17"/>
      <c r="B19" s="18" t="s">
        <v>25</v>
      </c>
      <c r="C19" s="19">
        <v>97</v>
      </c>
      <c r="D19" s="20" t="e">
        <f t="shared" si="0"/>
        <v>#VALUE!</v>
      </c>
      <c r="E19" s="21" t="e">
        <f t="shared" si="1"/>
        <v>#VALUE!</v>
      </c>
      <c r="F19" s="21"/>
      <c r="G19" s="22"/>
    </row>
    <row r="20" spans="1:7" x14ac:dyDescent="0.25">
      <c r="A20" s="17"/>
      <c r="B20" s="18" t="s">
        <v>26</v>
      </c>
      <c r="C20" s="19">
        <v>450</v>
      </c>
      <c r="D20" s="20" t="e">
        <f t="shared" si="0"/>
        <v>#VALUE!</v>
      </c>
      <c r="E20" s="21" t="e">
        <f t="shared" si="1"/>
        <v>#VALUE!</v>
      </c>
      <c r="F20" s="21"/>
      <c r="G20" s="22"/>
    </row>
    <row r="21" spans="1:7" x14ac:dyDescent="0.25">
      <c r="A21" s="17"/>
      <c r="B21" s="18" t="s">
        <v>27</v>
      </c>
      <c r="C21" s="19">
        <v>220</v>
      </c>
      <c r="D21" s="20" t="e">
        <f t="shared" si="0"/>
        <v>#VALUE!</v>
      </c>
      <c r="E21" s="21" t="e">
        <f t="shared" si="1"/>
        <v>#VALUE!</v>
      </c>
      <c r="F21" s="21"/>
      <c r="G21" s="22"/>
    </row>
    <row r="22" spans="1:7" x14ac:dyDescent="0.25">
      <c r="A22" s="17"/>
      <c r="B22" s="18" t="s">
        <v>28</v>
      </c>
      <c r="C22" s="19">
        <v>115</v>
      </c>
      <c r="D22" s="20" t="e">
        <f t="shared" si="0"/>
        <v>#VALUE!</v>
      </c>
      <c r="E22" s="21" t="e">
        <f t="shared" si="1"/>
        <v>#VALUE!</v>
      </c>
      <c r="F22" s="21"/>
      <c r="G22" s="22"/>
    </row>
    <row r="23" spans="1:7" x14ac:dyDescent="0.25">
      <c r="A23" s="23"/>
      <c r="B23" s="24"/>
      <c r="C23" s="25"/>
      <c r="D23" s="26" t="e">
        <f t="shared" si="0"/>
        <v>#VALUE!</v>
      </c>
      <c r="E23" s="27" t="e">
        <f t="shared" si="1"/>
        <v>#VALUE!</v>
      </c>
      <c r="F23" s="27"/>
      <c r="G23" s="1"/>
    </row>
    <row r="24" spans="1:7" x14ac:dyDescent="0.25">
      <c r="A24" s="23"/>
      <c r="B24" s="28" t="s">
        <v>29</v>
      </c>
      <c r="C24" s="25">
        <f>SUM(C18:C23)</f>
        <v>985</v>
      </c>
      <c r="D24" s="26" t="e">
        <f t="shared" ref="D24:D39" si="2">C24*$C$9/1000</f>
        <v>#VALUE!</v>
      </c>
      <c r="E24" s="27" t="e">
        <f>SUM(E18:E23)</f>
        <v>#VALUE!</v>
      </c>
      <c r="F24" s="27"/>
      <c r="G24" s="1"/>
    </row>
    <row r="25" spans="1:7" x14ac:dyDescent="0.25">
      <c r="A25" s="23"/>
      <c r="B25" s="24"/>
      <c r="C25" s="23"/>
      <c r="D25" s="26"/>
      <c r="E25" s="24"/>
      <c r="F25" s="24"/>
      <c r="G25" s="1"/>
    </row>
    <row r="26" spans="1:7" x14ac:dyDescent="0.25">
      <c r="A26" s="23"/>
      <c r="B26" s="28" t="s">
        <v>30</v>
      </c>
      <c r="C26" s="23"/>
      <c r="D26" s="26"/>
      <c r="E26" s="24"/>
      <c r="F26" s="24"/>
      <c r="G26" s="1"/>
    </row>
    <row r="27" spans="1:7" x14ac:dyDescent="0.25">
      <c r="A27" s="23"/>
      <c r="B27" s="24" t="s">
        <v>31</v>
      </c>
      <c r="C27" s="29" t="s">
        <v>32</v>
      </c>
      <c r="D27" s="27" t="e">
        <f t="shared" si="2"/>
        <v>#VALUE!</v>
      </c>
      <c r="E27" s="30" t="e">
        <f>D27*$C$12</f>
        <v>#VALUE!</v>
      </c>
      <c r="F27" s="30"/>
      <c r="G27" s="1"/>
    </row>
    <row r="28" spans="1:7" s="31" customFormat="1" x14ac:dyDescent="0.25">
      <c r="A28" s="32"/>
      <c r="B28" s="28"/>
      <c r="C28" s="29">
        <v>0.3</v>
      </c>
      <c r="D28" s="29" t="e">
        <f t="shared" si="2"/>
        <v>#VALUE!</v>
      </c>
      <c r="E28" s="33" t="e">
        <f t="shared" ref="E28:E38" si="3">D28*$C$12</f>
        <v>#VALUE!</v>
      </c>
      <c r="F28" s="33"/>
      <c r="G28" s="6"/>
    </row>
    <row r="29" spans="1:7" x14ac:dyDescent="0.25">
      <c r="A29" s="23"/>
      <c r="B29" s="28"/>
      <c r="C29" s="33">
        <v>0</v>
      </c>
      <c r="D29" s="29" t="e">
        <f t="shared" si="2"/>
        <v>#VALUE!</v>
      </c>
      <c r="E29" s="33" t="e">
        <f t="shared" si="3"/>
        <v>#VALUE!</v>
      </c>
      <c r="F29" s="30"/>
      <c r="G29" s="1"/>
    </row>
    <row r="30" spans="1:7" x14ac:dyDescent="0.25">
      <c r="A30" s="23"/>
      <c r="B30" s="28" t="s">
        <v>33</v>
      </c>
      <c r="C30" s="29" t="s">
        <v>34</v>
      </c>
      <c r="D30" s="29" t="e">
        <f t="shared" si="2"/>
        <v>#VALUE!</v>
      </c>
      <c r="E30" s="33" t="e">
        <f t="shared" si="3"/>
        <v>#VALUE!</v>
      </c>
      <c r="F30" s="30"/>
      <c r="G30" s="1"/>
    </row>
    <row r="31" spans="1:7" x14ac:dyDescent="0.25">
      <c r="A31" s="32"/>
      <c r="B31" s="28" t="s">
        <v>35</v>
      </c>
      <c r="C31" s="29">
        <v>0</v>
      </c>
      <c r="D31" s="29" t="e">
        <f t="shared" si="2"/>
        <v>#VALUE!</v>
      </c>
      <c r="E31" s="33" t="e">
        <f t="shared" si="3"/>
        <v>#VALUE!</v>
      </c>
      <c r="F31" s="30"/>
      <c r="G31" s="1"/>
    </row>
    <row r="32" spans="1:7" x14ac:dyDescent="0.25">
      <c r="A32" s="23"/>
      <c r="B32" s="28" t="s">
        <v>36</v>
      </c>
      <c r="C32" s="29" t="s">
        <v>37</v>
      </c>
      <c r="D32" s="29" t="e">
        <f t="shared" si="2"/>
        <v>#VALUE!</v>
      </c>
      <c r="E32" s="33" t="e">
        <f t="shared" si="3"/>
        <v>#VALUE!</v>
      </c>
      <c r="F32" s="30"/>
      <c r="G32" s="1"/>
    </row>
    <row r="33" spans="1:7" x14ac:dyDescent="0.25">
      <c r="A33" s="23"/>
      <c r="B33" s="28" t="s">
        <v>38</v>
      </c>
      <c r="C33" s="29">
        <v>0</v>
      </c>
      <c r="D33" s="29" t="e">
        <f t="shared" si="2"/>
        <v>#VALUE!</v>
      </c>
      <c r="E33" s="33" t="e">
        <f t="shared" si="3"/>
        <v>#VALUE!</v>
      </c>
      <c r="F33" s="30"/>
      <c r="G33" s="1"/>
    </row>
    <row r="34" spans="1:7" x14ac:dyDescent="0.25">
      <c r="A34" s="23"/>
      <c r="B34" s="28" t="s">
        <v>39</v>
      </c>
      <c r="C34" s="29" t="s">
        <v>40</v>
      </c>
      <c r="D34" s="29" t="e">
        <f t="shared" si="2"/>
        <v>#VALUE!</v>
      </c>
      <c r="E34" s="33" t="e">
        <f t="shared" si="3"/>
        <v>#VALUE!</v>
      </c>
      <c r="F34" s="30"/>
      <c r="G34" s="1"/>
    </row>
    <row r="35" spans="1:7" x14ac:dyDescent="0.25">
      <c r="A35" s="23"/>
      <c r="B35" s="28" t="s">
        <v>41</v>
      </c>
      <c r="C35" s="29">
        <v>5</v>
      </c>
      <c r="D35" s="29" t="e">
        <f t="shared" si="2"/>
        <v>#VALUE!</v>
      </c>
      <c r="E35" s="33" t="e">
        <f t="shared" si="3"/>
        <v>#VALUE!</v>
      </c>
      <c r="F35" s="30"/>
      <c r="G35" s="1"/>
    </row>
    <row r="36" spans="1:7" x14ac:dyDescent="0.25">
      <c r="A36" s="23"/>
      <c r="B36" s="28"/>
      <c r="C36" s="34">
        <v>0</v>
      </c>
      <c r="D36" s="35" t="e">
        <f t="shared" si="2"/>
        <v>#VALUE!</v>
      </c>
      <c r="E36" s="33" t="e">
        <f t="shared" si="3"/>
        <v>#VALUE!</v>
      </c>
      <c r="F36" s="30"/>
      <c r="G36" s="1"/>
    </row>
    <row r="37" spans="1:7" x14ac:dyDescent="0.25">
      <c r="A37" s="23"/>
      <c r="B37" s="28"/>
      <c r="C37" s="29">
        <v>0</v>
      </c>
      <c r="D37" s="29" t="e">
        <f t="shared" si="2"/>
        <v>#VALUE!</v>
      </c>
      <c r="E37" s="33" t="e">
        <f t="shared" si="3"/>
        <v>#VALUE!</v>
      </c>
      <c r="F37" s="30"/>
      <c r="G37" s="1"/>
    </row>
    <row r="38" spans="1:7" x14ac:dyDescent="0.25">
      <c r="A38" s="23"/>
      <c r="B38" s="28"/>
      <c r="C38" s="33">
        <v>0</v>
      </c>
      <c r="D38" s="29" t="e">
        <f t="shared" si="2"/>
        <v>#VALUE!</v>
      </c>
      <c r="E38" s="33" t="e">
        <f t="shared" si="3"/>
        <v>#VALUE!</v>
      </c>
      <c r="F38" s="24"/>
      <c r="G38" s="1"/>
    </row>
    <row r="39" ht="13.95" customHeight="1" spans="1:7" x14ac:dyDescent="0.25">
      <c r="A39" s="36"/>
      <c r="B39" s="37" t="s">
        <v>42</v>
      </c>
      <c r="C39" s="38">
        <f>SUM(C24:C38)</f>
        <v>990.3</v>
      </c>
      <c r="D39" s="39" t="e">
        <f t="shared" si="2"/>
        <v>#VALUE!</v>
      </c>
      <c r="E39" s="38" t="e">
        <f>SUM(E24:E38)</f>
        <v>#VALUE!</v>
      </c>
      <c r="F39" s="38"/>
      <c r="G39" s="1"/>
    </row>
    <row r="40" spans="1:7" x14ac:dyDescent="0.25">
      <c r="A40" s="1"/>
      <c r="B40" s="1"/>
      <c r="C40" s="1"/>
      <c r="D40" s="1"/>
      <c r="E40" s="1"/>
      <c r="F40" s="1"/>
      <c r="G40" s="1"/>
    </row>
    <row r="41" spans="1:7" x14ac:dyDescent="0.25">
      <c r="A41" s="40" t="s">
        <v>43</v>
      </c>
      <c r="B41" s="40"/>
      <c r="C41" s="41"/>
      <c r="D41" s="1"/>
      <c r="E41" s="1" t="s">
        <v>44</v>
      </c>
      <c r="F41" s="1"/>
      <c r="G41" s="1"/>
    </row>
    <row r="42" spans="1:7" x14ac:dyDescent="0.25">
      <c r="A42" s="40" t="s">
        <v>45</v>
      </c>
      <c r="B42" s="40"/>
      <c r="C42" s="42"/>
      <c r="D42" s="1"/>
      <c r="E42" s="1"/>
      <c r="F42" s="1"/>
      <c r="G42" s="1"/>
    </row>
    <row r="43" spans="1:7" x14ac:dyDescent="0.25">
      <c r="A43" s="40" t="s">
        <v>46</v>
      </c>
      <c r="B43" s="40"/>
      <c r="C43" s="43"/>
      <c r="D43" s="1"/>
      <c r="E43" s="44"/>
      <c r="F43" s="45"/>
      <c r="G43" s="46"/>
    </row>
    <row r="44" spans="1:7" x14ac:dyDescent="0.25">
      <c r="A44" s="40" t="s">
        <v>47</v>
      </c>
      <c r="B44" s="40"/>
      <c r="C44" s="40"/>
      <c r="D44" s="1"/>
      <c r="E44" s="47"/>
      <c r="F44" s="1"/>
      <c r="G44" s="48"/>
    </row>
    <row r="45" spans="1:7" x14ac:dyDescent="0.25">
      <c r="A45" s="1"/>
      <c r="B45" s="1"/>
      <c r="C45" s="1"/>
      <c r="D45" s="1"/>
      <c r="E45" s="47"/>
      <c r="F45" s="1"/>
      <c r="G45" s="48"/>
    </row>
    <row r="46" spans="1:7" x14ac:dyDescent="0.25">
      <c r="A46" s="1"/>
      <c r="B46" s="1"/>
      <c r="C46" s="1"/>
      <c r="D46" s="1"/>
      <c r="E46" s="49"/>
      <c r="F46" s="50"/>
      <c r="G46" s="51"/>
    </row>
    <row r="47" spans="1:7" x14ac:dyDescent="0.25">
      <c r="A47" s="40" t="s">
        <v>48</v>
      </c>
      <c r="B47" s="43"/>
      <c r="C47" s="40"/>
      <c r="D47" s="1" t="s">
        <v>49</v>
      </c>
      <c r="E47" s="1"/>
      <c r="F47" s="1"/>
      <c r="G47" s="1"/>
    </row>
    <row r="48" spans="1:7" x14ac:dyDescent="0.25">
      <c r="A48" s="40" t="s">
        <v>50</v>
      </c>
      <c r="B48" s="43"/>
      <c r="C48" s="40"/>
      <c r="D48" s="1" t="s">
        <v>49</v>
      </c>
      <c r="E48" s="1" t="s">
        <v>51</v>
      </c>
      <c r="F48" s="52"/>
      <c r="G48" s="1"/>
    </row>
    <row r="49" spans="1:7" x14ac:dyDescent="0.25">
      <c r="A49" s="53" t="s">
        <v>52</v>
      </c>
      <c r="B49" s="54"/>
      <c r="C49" s="40"/>
      <c r="D49" s="1" t="s">
        <v>49</v>
      </c>
      <c r="E49" s="1" t="s">
        <v>53</v>
      </c>
      <c r="F49" s="52"/>
      <c r="G49" s="1"/>
    </row>
    <row r="50" spans="1:7" x14ac:dyDescent="0.25">
      <c r="A50" s="40" t="s">
        <v>54</v>
      </c>
      <c r="B50" s="40"/>
      <c r="C50" s="40"/>
      <c r="D50" s="1"/>
      <c r="E50" s="1"/>
      <c r="F50" s="1"/>
      <c r="G50" s="1"/>
    </row>
    <row r="51" spans="1:7" x14ac:dyDescent="0.25">
      <c r="A51" s="1"/>
      <c r="B51" s="1"/>
      <c r="C51" s="1"/>
      <c r="D51" s="1"/>
      <c r="E51" s="1"/>
      <c r="F51" s="1"/>
      <c r="G51" s="1"/>
    </row>
    <row r="52" spans="1:7" x14ac:dyDescent="0.25">
      <c r="A52" s="6" t="s">
        <v>55</v>
      </c>
      <c r="B52" s="6"/>
      <c r="C52" s="1"/>
      <c r="D52" s="1"/>
      <c r="E52" s="1"/>
      <c r="F52" s="1"/>
      <c r="G52" s="1"/>
    </row>
    <row r="53" spans="1:7" x14ac:dyDescent="0.25">
      <c r="A53" s="55" t="s">
        <v>56</v>
      </c>
      <c r="B53" s="56" t="s">
        <v>57</v>
      </c>
      <c r="C53" s="57"/>
      <c r="D53" s="57"/>
      <c r="E53" s="57"/>
      <c r="F53" s="56" t="s">
        <v>58</v>
      </c>
      <c r="G53" s="58"/>
    </row>
    <row r="54" spans="1:7" x14ac:dyDescent="0.25">
      <c r="A54" s="59"/>
      <c r="B54" s="53"/>
      <c r="C54" s="60"/>
      <c r="D54" s="60"/>
      <c r="E54" s="60"/>
      <c r="F54" s="53"/>
      <c r="G54" s="61"/>
    </row>
    <row r="55" spans="1:7" x14ac:dyDescent="0.25">
      <c r="A55" s="59"/>
      <c r="B55" s="53"/>
      <c r="C55" s="60"/>
      <c r="D55" s="60"/>
      <c r="E55" s="60"/>
      <c r="F55" s="53"/>
      <c r="G55" s="61"/>
    </row>
    <row r="56" spans="1:7" x14ac:dyDescent="0.25">
      <c r="A56" s="22"/>
      <c r="B56" s="22"/>
      <c r="C56" s="22"/>
      <c r="D56" s="22"/>
      <c r="E56" s="22"/>
      <c r="F56" s="22"/>
      <c r="G56" s="22"/>
    </row>
    <row r="57" spans="1:7" x14ac:dyDescent="0.25">
      <c r="A57" s="62" t="s">
        <v>59</v>
      </c>
      <c r="B57" s="62"/>
      <c r="D57" s="62"/>
      <c r="E57" s="62"/>
      <c r="F57" s="62" t="s">
        <v>60</v>
      </c>
      <c r="G57" s="62"/>
    </row>
    <row r="58" spans="1:7" x14ac:dyDescent="0.25">
      <c r="A58" s="62" t="s">
        <v>61</v>
      </c>
      <c r="B58" s="62"/>
      <c r="D58" s="62"/>
      <c r="E58" s="62"/>
      <c r="F58" s="62"/>
      <c r="G58" s="62"/>
    </row>
  </sheetData>
  <pageMargins left="0.75" right="0.75" top="0.5" bottom="0.5" header="0.5" footer="0.5"/>
  <pageSetup paperSize="1" orientation="portrait" horizontalDpi="4294967295" verticalDpi="4294967295" scale="86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1" sqref="A1"/>
    </sheetView>
  </sheetViews>
  <sheetFormatPr defaultRowHeight="13.2" outlineLevelRow="0" outlineLevelCol="0" x14ac:dyDescent="0" defaultColWidth="9" customHeight="1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1" sqref="A1"/>
    </sheetView>
  </sheetViews>
  <sheetFormatPr defaultRowHeight="13.2" outlineLevelRow="0" outlineLevelCol="0" x14ac:dyDescent="0" defaultColWidth="9" customHeight="1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Jomitco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ghaly2</cp:lastModifiedBy>
  <cp:lastPrinted>2024-03-09T09:12:00Z</cp:lastPrinted>
  <dcterms:created xsi:type="dcterms:W3CDTF">2003-02-07T20:57:00Z</dcterms:created>
  <dcterms:modified xsi:type="dcterms:W3CDTF">2026-10-01T08:14:46Z</dcterms:modified>
</cp:coreProperties>
</file>