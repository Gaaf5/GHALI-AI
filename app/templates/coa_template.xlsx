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tabRatio="602" firstSheet="4" activeTab="4"/>
  </bookViews>
  <sheets>
    <sheet name="Formula" sheetId="1" state="hidden" r:id="rId1"/>
    <sheet name="Data" sheetId="2" state="hidden" r:id="rId2"/>
    <sheet name="1,2,5kg cost" sheetId="4" state="hidden" r:id="rId3"/>
    <sheet name="Sheet1" sheetId="3" state="hidden" r:id="rId4"/>
    <sheet name="Sheet2" sheetId="5" r:id="rId5"/>
  </sheets>
  <definedNames>
    <definedName name="_Hlk206940199" localSheetId="4">Sheet2!$F$11</definedName>
    <definedName name="adfert_bb_formula">Formula!$B$1:$I$32</definedName>
    <definedName name="bb_formula">Formula!$B$1:$I$32</definedName>
    <definedName name="kgb">Data!#REF!</definedName>
    <definedName name="kgca">Data!#REF!</definedName>
    <definedName name="kgcu">Data!#REF!</definedName>
    <definedName name="kgfe">Data!#REF!</definedName>
    <definedName name="kgk">Data!#REF!</definedName>
    <definedName name="kgmg">Data!#REF!</definedName>
    <definedName name="kgmn">Data!#REF!</definedName>
    <definedName name="kgmo">Data!#REF!</definedName>
    <definedName name="kgN">Data!#REF!</definedName>
    <definedName name="kgp">Data!#REF!</definedName>
    <definedName name="kgs">Data!#REF!</definedName>
    <definedName name="kgzn">Data!#REF!</definedName>
    <definedName name="lbscl">Data!#REF!</definedName>
    <definedName name="lbsk">Data!#REF!</definedName>
    <definedName name="lbsmg">Data!#REF!</definedName>
    <definedName name="lbsn">Data!#REF!</definedName>
    <definedName name="lbsp">Data!#REF!</definedName>
    <definedName name="lbss">Data!#REF!</definedName>
    <definedName name="_xlnm.Print_Area" localSheetId="2">'1,2,5kg cost'!$B$4:$I$43</definedName>
    <definedName name="_xlnm.Print_Area" localSheetId="1">Data!$A$2:$O$21</definedName>
    <definedName name="_xlnm.Print_Area" localSheetId="0">Formula!$A$1:$N$49</definedName>
    <definedName name="_xlnm.Print_Titles" localSheetId="0">Formula!$A:$A</definedName>
    <definedName name="rate">Data!#REF!</definedName>
    <definedName name="solver_adj" localSheetId="1" hidden="1">Data!#REF!</definedName>
    <definedName name="solver_adj" localSheetId="0" hidden="1">Formula!$B$20:$B$31</definedName>
    <definedName name="solver_cvg" localSheetId="0" hidden="1">0.001</definedName>
    <definedName name="solver_drv" localSheetId="1" hidden="1">2</definedName>
    <definedName name="solver_drv" localSheetId="0" hidden="1">1</definedName>
    <definedName name="solver_eng" localSheetId="0" hidden="1">1</definedName>
    <definedName name="solver_eng" localSheetId="4" hidden="1">0</definedName>
    <definedName name="solver_est" localSheetId="1" hidden="1">2</definedName>
    <definedName name="solver_est" localSheetId="0" hidden="1">1</definedName>
    <definedName name="solver_itr" localSheetId="1" hidden="1">100</definedName>
    <definedName name="solver_itr" localSheetId="0" hidden="1">100</definedName>
    <definedName name="solver_lhs1" localSheetId="1" hidden="1">Data!#REF!</definedName>
    <definedName name="solver_lhs1" localSheetId="0" hidden="1">Formula!$B$33</definedName>
    <definedName name="solver_lhs2" localSheetId="1" hidden="1">Data!#REF!</definedName>
    <definedName name="solver_lhs2" localSheetId="0" hidden="1">Formula!$B$20:$B$31</definedName>
    <definedName name="solver_lhs3" localSheetId="1" hidden="1">Formula!$B$20:$B$31</definedName>
    <definedName name="solver_lhs3" localSheetId="0" hidden="1">Formula!$B$20:$B$31</definedName>
    <definedName name="solver_lhs4" localSheetId="1" hidden="1">Formula!$B$20:$B$31</definedName>
    <definedName name="solver_lhs4" localSheetId="0" hidden="1">Formula!$B$6:$B$13</definedName>
    <definedName name="solver_lhs5" localSheetId="1" hidden="1">Data!#REF!</definedName>
    <definedName name="solver_lhs5" localSheetId="0" hidden="1">Formula!$B$6:$B$13</definedName>
    <definedName name="solver_lhs6" localSheetId="1" hidden="1">Formula!#REF!</definedName>
    <definedName name="solver_lhs6" localSheetId="0" hidden="1">Formula!$G$6:$G$8</definedName>
    <definedName name="solver_lhs7" localSheetId="1" hidden="1">Formula!#REF!</definedName>
    <definedName name="solver_lhs7" localSheetId="0" hidden="1">Formula!$G$6:$G$8</definedName>
    <definedName name="solver_lin" localSheetId="1" hidden="1">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1" hidden="1">7</definedName>
    <definedName name="solver_num" localSheetId="0" hidden="1">7</definedName>
    <definedName name="solver_nwt" localSheetId="1" hidden="1">2</definedName>
    <definedName name="solver_nwt" localSheetId="0" hidden="1">1</definedName>
    <definedName name="solver_opt" localSheetId="1" hidden="1">Data!#REF!</definedName>
    <definedName name="solver_opt" localSheetId="0" hidden="1">Formula!$C$37</definedName>
    <definedName name="solver_pre" localSheetId="1" hidden="1">0.000001</definedName>
    <definedName name="solver_pre" localSheetId="0" hidden="1">0.000001</definedName>
    <definedName name="solver_rbv" localSheetId="0" hidden="1">1</definedName>
    <definedName name="solver_rel1" localSheetId="1" hidden="1">3</definedName>
    <definedName name="solver_rel1" localSheetId="0" hidden="1">2</definedName>
    <definedName name="solver_rel2" localSheetId="1" hidden="1">2</definedName>
    <definedName name="solver_rel2" localSheetId="0" hidden="1">3</definedName>
    <definedName name="solver_rel3" localSheetId="1" hidden="1">1</definedName>
    <definedName name="solver_rel3" localSheetId="0" hidden="1">1</definedName>
    <definedName name="solver_rel4" localSheetId="1" hidden="1">3</definedName>
    <definedName name="solver_rel4" localSheetId="0" hidden="1">1</definedName>
    <definedName name="solver_rel5" localSheetId="1" hidden="1">3</definedName>
    <definedName name="solver_rel5" localSheetId="0" hidden="1">3</definedName>
    <definedName name="solver_rel6" localSheetId="1" hidden="1">3</definedName>
    <definedName name="solver_rel6" localSheetId="0" hidden="1">1</definedName>
    <definedName name="solver_rel7" localSheetId="1" hidden="1">1</definedName>
    <definedName name="solver_rel7" localSheetId="0" hidden="1">3</definedName>
    <definedName name="solver_rhs1" localSheetId="1" hidden="1">0</definedName>
    <definedName name="solver_rhs1" localSheetId="0" hidden="1">1000</definedName>
    <definedName name="solver_rhs2" localSheetId="1" hidden="1">1</definedName>
    <definedName name="solver_rhs2" localSheetId="0" hidden="1">Formula!$D$20:$D$31</definedName>
    <definedName name="solver_rhs3" localSheetId="1" hidden="1">Formula!$E$20:$E$31</definedName>
    <definedName name="solver_rhs3" localSheetId="0" hidden="1">Formula!$E$20:$E$31</definedName>
    <definedName name="solver_rhs4" localSheetId="1" hidden="1">Formula!$D$20:$D$31</definedName>
    <definedName name="solver_rhs4" localSheetId="0" hidden="1">Formula!$D$6:$D$13</definedName>
    <definedName name="solver_rhs5" localSheetId="1" hidden="1">Formula!$B$32:$H$32</definedName>
    <definedName name="solver_rhs5" localSheetId="0" hidden="1">Formula!$C$6:$C$13</definedName>
    <definedName name="solver_rhs6" localSheetId="1" hidden="1">Formula!$H$6:$H$8</definedName>
    <definedName name="solver_rhs6" localSheetId="0" hidden="1">Formula!$I$6:$I$8</definedName>
    <definedName name="solver_rhs7" localSheetId="1" hidden="1">Formula!$I$6:$I$8</definedName>
    <definedName name="solver_rhs7" localSheetId="0" hidden="1">Formula!$H$6:$H$8</definedName>
    <definedName name="solver_rlx" localSheetId="0" hidden="1">1</definedName>
    <definedName name="solver_rsd" localSheetId="0" hidden="1">0</definedName>
    <definedName name="solver_scl" localSheetId="1" hidden="1">0</definedName>
    <definedName name="solver_scl" localSheetId="0" hidden="1">2</definedName>
    <definedName name="solver_sho" localSheetId="1" hidden="1">0</definedName>
    <definedName name="solver_sho" localSheetId="0" hidden="1">2</definedName>
    <definedName name="solver_ssz" localSheetId="0" hidden="1">100</definedName>
    <definedName name="solver_tim" localSheetId="1" hidden="1">100</definedName>
    <definedName name="solver_tim" localSheetId="0" hidden="1">100</definedName>
    <definedName name="solver_tol" localSheetId="1" hidden="1">0.05</definedName>
    <definedName name="solver_tol" localSheetId="0" hidden="1">0.05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0" hidden="1">3</definedName>
    <definedName name="validcustomer">Sheet1!$B$22:$B$37</definedName>
    <definedName name="validinco">Sheet1!$B$16:$B$19</definedName>
    <definedName name="validpacking">Sheet1!$B$3:$B$12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<sst xmlns="http://schemas.openxmlformats.org/spreadsheetml/2006/main" count="264" uniqueCount="187">
  <si>
    <t>Actual</t>
  </si>
  <si>
    <t>MgO</t>
  </si>
  <si>
    <t>CaO%</t>
  </si>
  <si>
    <t xml:space="preserve"> </t>
  </si>
  <si>
    <t>Nitrogen Content</t>
  </si>
  <si>
    <t xml:space="preserve"> K2O</t>
  </si>
  <si>
    <t xml:space="preserve"> P2O5</t>
  </si>
  <si>
    <t>Source</t>
  </si>
  <si>
    <t>Constrains</t>
  </si>
  <si>
    <t>30-0-5</t>
  </si>
  <si>
    <t>MAP</t>
  </si>
  <si>
    <t>Content</t>
  </si>
  <si>
    <t>Min</t>
  </si>
  <si>
    <t>Max</t>
  </si>
  <si>
    <t>PN C</t>
  </si>
  <si>
    <t>MKP</t>
  </si>
  <si>
    <t>%N</t>
  </si>
  <si>
    <t>Urea (NH2)</t>
  </si>
  <si>
    <t>%P2O5</t>
  </si>
  <si>
    <t>Amonia (NH4)</t>
  </si>
  <si>
    <t>SOP</t>
  </si>
  <si>
    <t>%K20</t>
  </si>
  <si>
    <t>Nitric (NO3)</t>
  </si>
  <si>
    <t>KCL</t>
  </si>
  <si>
    <t>%S</t>
  </si>
  <si>
    <t>Total N</t>
  </si>
  <si>
    <t>Total</t>
  </si>
  <si>
    <t>%MgO</t>
  </si>
  <si>
    <t>CaO</t>
  </si>
  <si>
    <t>Solubility</t>
  </si>
  <si>
    <t>pH</t>
  </si>
  <si>
    <t>CL %</t>
  </si>
  <si>
    <t>SO3</t>
  </si>
  <si>
    <t>e.c.(mS/cm)</t>
  </si>
  <si>
    <t>Raw Material Content</t>
  </si>
  <si>
    <t>Raw Mat.</t>
  </si>
  <si>
    <t>Cost</t>
  </si>
  <si>
    <t>Kg/MT</t>
  </si>
  <si>
    <t>US$/MT</t>
  </si>
  <si>
    <t>basis</t>
  </si>
  <si>
    <t>T.E</t>
  </si>
  <si>
    <t>Anti Cack.</t>
  </si>
  <si>
    <t>kg TE MIX</t>
  </si>
  <si>
    <t>EURO</t>
  </si>
  <si>
    <t>Trace Elements</t>
  </si>
  <si>
    <t>%</t>
  </si>
  <si>
    <t>ppm</t>
  </si>
  <si>
    <t>$</t>
  </si>
  <si>
    <t>JD</t>
  </si>
  <si>
    <t>Boron</t>
  </si>
  <si>
    <t>$/MT</t>
  </si>
  <si>
    <t>CU-EDTA</t>
  </si>
  <si>
    <t>operation cost</t>
  </si>
  <si>
    <t>FE-EDTA</t>
  </si>
  <si>
    <t>Production Total Cost</t>
  </si>
  <si>
    <t>MN-EDTA</t>
  </si>
  <si>
    <t>ZN-EDTA</t>
  </si>
  <si>
    <t>packing (20,25 or 50kg)</t>
  </si>
  <si>
    <t>25 kg Bags</t>
  </si>
  <si>
    <t>Mo.</t>
  </si>
  <si>
    <t>pallets</t>
  </si>
  <si>
    <t>transport</t>
  </si>
  <si>
    <t>Ex.work</t>
  </si>
  <si>
    <t>Commission</t>
  </si>
  <si>
    <t>Total finished goods cost</t>
  </si>
  <si>
    <t>S. P</t>
  </si>
  <si>
    <t>G.M</t>
  </si>
  <si>
    <t>%G.M</t>
  </si>
  <si>
    <t>Raw Materials Nutrient and Price Data Base</t>
  </si>
  <si>
    <t>Nitrogen Source</t>
  </si>
  <si>
    <t>Material</t>
  </si>
  <si>
    <t>%CaO</t>
  </si>
  <si>
    <t>%B</t>
  </si>
  <si>
    <t>e.c.</t>
  </si>
  <si>
    <t>Urea</t>
  </si>
  <si>
    <t>NH4</t>
  </si>
  <si>
    <t>NO3</t>
  </si>
  <si>
    <t>AS</t>
  </si>
  <si>
    <t>26-0-0</t>
  </si>
  <si>
    <t>NOP</t>
  </si>
  <si>
    <t>MAP Tech</t>
  </si>
  <si>
    <t>UP</t>
  </si>
  <si>
    <t>MgS</t>
  </si>
  <si>
    <t>SOP C</t>
  </si>
  <si>
    <t>TE</t>
  </si>
  <si>
    <t>Anticacking</t>
  </si>
  <si>
    <t>1 Kg BAG COST IN USD</t>
  </si>
  <si>
    <t>Loading Details(For 1kg bag)</t>
  </si>
  <si>
    <t xml:space="preserve">Cost($) / Unit </t>
  </si>
  <si>
    <t>Cost ($) / 1kg bag</t>
  </si>
  <si>
    <t>No. of pallets / Container</t>
  </si>
  <si>
    <t>110cm * 110 cm</t>
  </si>
  <si>
    <t xml:space="preserve">R.M </t>
  </si>
  <si>
    <t>No. of cartoons (36*36*25)/Pallet</t>
  </si>
  <si>
    <t>3*3*4 = 36</t>
  </si>
  <si>
    <t>BAG FILM</t>
  </si>
  <si>
    <t>No. of (1kg) bags / cartoon</t>
  </si>
  <si>
    <t>20 bag * 1kg</t>
  </si>
  <si>
    <t>CARTONS</t>
  </si>
  <si>
    <t>Total No. of bags / pallet</t>
  </si>
  <si>
    <t>36cartoon * 20bag</t>
  </si>
  <si>
    <t>PALLETS</t>
  </si>
  <si>
    <t>Total no. of bags / container</t>
  </si>
  <si>
    <t>720 bag * 20 pallet</t>
  </si>
  <si>
    <t>OPERATION COST</t>
  </si>
  <si>
    <t>Total net weight (Kg)/ container</t>
  </si>
  <si>
    <t>14400 * 1Kg</t>
  </si>
  <si>
    <t>TRANSPORTATION</t>
  </si>
  <si>
    <t>Total CFR Cost in ($)</t>
  </si>
  <si>
    <t>Suggested selling price CFR in ($)</t>
  </si>
  <si>
    <t>2 Kg BAG COST IN USD</t>
  </si>
  <si>
    <t>Loading Details (For 2kg bag)</t>
  </si>
  <si>
    <t>No. of (2kg) bags / cartoon</t>
  </si>
  <si>
    <t>10 bag * 2kg</t>
  </si>
  <si>
    <t>36cartoon * 10bag</t>
  </si>
  <si>
    <t>360 bag * 20 pallet</t>
  </si>
  <si>
    <t>7200 * 2Kg</t>
  </si>
  <si>
    <t>5 Kg BAG COST IN USD</t>
  </si>
  <si>
    <t>Loading Details (For 5kg bag)</t>
  </si>
  <si>
    <t>No. of (5kg) bags / cartoon</t>
  </si>
  <si>
    <t>4 bag * 5kg</t>
  </si>
  <si>
    <t>36cartoon * 4bag</t>
  </si>
  <si>
    <t>144 bag * 20 pallet</t>
  </si>
  <si>
    <t>2880 * 5Kg</t>
  </si>
  <si>
    <t>Packing</t>
  </si>
  <si>
    <t>Formax</t>
  </si>
  <si>
    <t>Fertinova</t>
  </si>
  <si>
    <t>Cerbero</t>
  </si>
  <si>
    <t>farmtic</t>
  </si>
  <si>
    <t>Other</t>
  </si>
  <si>
    <t xml:space="preserve">Tron </t>
  </si>
  <si>
    <t>Plant Master</t>
  </si>
  <si>
    <t>Prestige</t>
  </si>
  <si>
    <t xml:space="preserve">Hortgreen </t>
  </si>
  <si>
    <t>Superior</t>
  </si>
  <si>
    <t>Incoterm</t>
  </si>
  <si>
    <t xml:space="preserve">CFR </t>
  </si>
  <si>
    <t xml:space="preserve">CPT </t>
  </si>
  <si>
    <t>FOT</t>
  </si>
  <si>
    <t>customer</t>
  </si>
  <si>
    <t>Zarrin</t>
  </si>
  <si>
    <t>Wakeel</t>
  </si>
  <si>
    <t>Novagri</t>
  </si>
  <si>
    <t>Algeria - New</t>
  </si>
  <si>
    <t>Igna</t>
  </si>
  <si>
    <t>Tahhan</t>
  </si>
  <si>
    <t>BlueField</t>
  </si>
  <si>
    <t>EGR</t>
  </si>
  <si>
    <t>CRC AFRICA</t>
  </si>
  <si>
    <t>Tunis - Drzy</t>
  </si>
  <si>
    <t>Nabat</t>
  </si>
  <si>
    <t>M. Trade</t>
  </si>
  <si>
    <t>Eastern</t>
  </si>
  <si>
    <t xml:space="preserve">Crystal </t>
  </si>
  <si>
    <t>Italpollina</t>
  </si>
  <si>
    <t>SAS</t>
  </si>
  <si>
    <t>Certificate of Analysis</t>
  </si>
  <si>
    <t>Elements</t>
  </si>
  <si>
    <t>% (W/W)</t>
  </si>
  <si>
    <t>Nitrogen (N)</t>
  </si>
  <si>
    <r>
      <rPr>
        <sz val="14"/>
        <rFont val="Times New Roman"/>
        <charset val="134"/>
      </rPr>
      <t>NO</t>
    </r>
    <r>
      <rPr>
        <sz val="12"/>
        <rFont val="Times New Roman"/>
        <charset val="134"/>
      </rPr>
      <t>3</t>
    </r>
  </si>
  <si>
    <r>
      <rPr>
        <sz val="14"/>
        <rFont val="Times New Roman"/>
        <charset val="134"/>
      </rPr>
      <t>NH</t>
    </r>
    <r>
      <rPr>
        <sz val="12"/>
        <rFont val="Times New Roman"/>
        <charset val="134"/>
      </rPr>
      <t>4</t>
    </r>
  </si>
  <si>
    <t>Phosphorus (P2O5)</t>
  </si>
  <si>
    <t>Potassium (K2O)</t>
  </si>
  <si>
    <t xml:space="preserve">(W/W)ppm </t>
  </si>
  <si>
    <t>Fe EDTA</t>
  </si>
  <si>
    <t>Zn EDTA</t>
  </si>
  <si>
    <t>Mn EDTA</t>
  </si>
  <si>
    <t>Cu EDTA</t>
  </si>
  <si>
    <t>B</t>
  </si>
  <si>
    <t xml:space="preserve">Heavy metals </t>
  </si>
  <si>
    <t>Cd</t>
  </si>
  <si>
    <t>Less than 5 ppm</t>
  </si>
  <si>
    <t>Cr</t>
  </si>
  <si>
    <t>Less than 150 ppm</t>
  </si>
  <si>
    <t>Pb</t>
  </si>
  <si>
    <t>As</t>
  </si>
  <si>
    <t>According to the international standards permitted</t>
  </si>
  <si>
    <t>Hg</t>
  </si>
  <si>
    <t>Chloride (Cl)</t>
  </si>
  <si>
    <t>Less than 1.0 %</t>
  </si>
  <si>
    <t>Sodium (Na)</t>
  </si>
  <si>
    <t xml:space="preserve">Physical &amp; Chemical Properties </t>
  </si>
  <si>
    <t xml:space="preserve">Physical Appearance </t>
  </si>
  <si>
    <t>Powder</t>
  </si>
  <si>
    <t>Solubility (5% solu.)</t>
  </si>
  <si>
    <t>pH (1% solu.)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</si>
</sst>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8" formatCode="&quot;$&quot;#,##0.00_);[Red]\(&quot;$&quot;#,##0.00\)"/>
    <numFmt numFmtId="42" formatCode="_(&quot;$&quot;* #,##0_);_(&quot;$&quot;* \(#,##0\);_(&quot;$&quot;* &quot;-&quot;_);_(@_)"/>
    <numFmt numFmtId="176" formatCode="_ * #,##0_ ;_ * \-#,##0_ ;_ * &quot;-&quot;_ ;_ @_ "/>
    <numFmt numFmtId="177" formatCode="0.0"/>
    <numFmt numFmtId="178" formatCode="[$$-C09]#,##0.00"/>
    <numFmt numFmtId="179" formatCode="0.0%"/>
    <numFmt numFmtId="180" formatCode="#,##0.0_);[Red]\(#,##0.0\)"/>
    <numFmt numFmtId="181" formatCode="[$JOD]\ #,##0.00_);[Red]\([$JOD]\ #,##0.00\)"/>
    <numFmt numFmtId="182" formatCode="[$€-2]\ #,##0.00_);[Red]\([$€-2]\ #,##0.00\)"/>
    <numFmt numFmtId="183" formatCode="0.000%"/>
  </numFmts>
  <fonts count="64">
    <font>
      <sz val="10"/>
      <name val="Arial"/>
      <charset val="178"/>
    </font>
    <font>
      <b/>
      <u/>
      <sz val="20"/>
      <name val="Times New Roman"/>
      <charset val="134"/>
    </font>
    <font>
      <sz val="14"/>
      <name val="Times New Roman"/>
      <charset val="134"/>
    </font>
    <font>
      <b/>
      <sz val="14"/>
      <color rgb="FF000000"/>
      <name val="Times New Roman"/>
      <charset val="134"/>
    </font>
    <font>
      <sz val="14"/>
      <color rgb="FF000000"/>
      <name val="Times New Roman"/>
      <charset val="134"/>
    </font>
    <font>
      <b/>
      <sz val="14"/>
      <name val="Times New Roman"/>
      <charset val="134"/>
    </font>
    <font>
      <sz val="11"/>
      <name val="Calibri"/>
      <charset val="134"/>
    </font>
    <font>
      <sz val="14"/>
      <color rgb="FFEE0000"/>
      <name val="Times New Roman"/>
      <charset val="134"/>
    </font>
    <font>
      <sz val="14"/>
      <color rgb="FFFF0000"/>
      <name val="Times New Roman"/>
      <charset val="134"/>
    </font>
    <font>
      <sz val="10"/>
      <name val="Arial"/>
      <charset val="134"/>
    </font>
    <font>
      <b/>
      <sz val="12"/>
      <name val="Times New Roman"/>
      <charset val="134"/>
    </font>
    <font>
      <b/>
      <sz val="12"/>
      <color indexed="56"/>
      <name val="Times New Roman"/>
      <charset val="134"/>
    </font>
    <font>
      <b/>
      <sz val="10"/>
      <name val="Times New Roman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8"/>
      <name val="Times New Roman"/>
      <charset val="134"/>
    </font>
    <font>
      <b/>
      <sz val="12"/>
      <name val="Times New Roman"/>
      <charset val="178"/>
    </font>
    <font>
      <sz val="10"/>
      <color indexed="11"/>
      <name val="Times New Roman"/>
      <charset val="134"/>
    </font>
    <font>
      <b/>
      <sz val="9"/>
      <name val="Times New Roman"/>
      <charset val="134"/>
    </font>
    <font>
      <b/>
      <u/>
      <sz val="9"/>
      <name val="Times New Roman"/>
      <charset val="134"/>
    </font>
    <font>
      <b/>
      <u/>
      <sz val="8"/>
      <name val="Times New Roman"/>
      <charset val="134"/>
    </font>
    <font>
      <b/>
      <sz val="9"/>
      <color indexed="10"/>
      <name val="Times New Roman"/>
      <charset val="178"/>
    </font>
    <font>
      <sz val="8"/>
      <name val="Times New Roman"/>
      <charset val="178"/>
    </font>
    <font>
      <b/>
      <sz val="8"/>
      <name val="Times New Roman"/>
      <charset val="134"/>
    </font>
    <font>
      <b/>
      <sz val="12"/>
      <color indexed="11"/>
      <name val="Times New Roman"/>
      <charset val="178"/>
    </font>
    <font>
      <b/>
      <sz val="14"/>
      <name val="Arial"/>
      <charset val="178"/>
    </font>
    <font>
      <sz val="14"/>
      <name val="Arial"/>
      <charset val="178"/>
    </font>
    <font>
      <b/>
      <sz val="16"/>
      <name val="Arial"/>
      <charset val="134"/>
    </font>
    <font>
      <b/>
      <sz val="10"/>
      <name val="Arial"/>
      <charset val="178"/>
    </font>
    <font>
      <b/>
      <sz val="11"/>
      <name val="Arial"/>
      <charset val="178"/>
    </font>
    <font>
      <b/>
      <sz val="8"/>
      <name val="Arial"/>
      <charset val="178"/>
    </font>
    <font>
      <u/>
      <sz val="10"/>
      <name val="Arial"/>
      <charset val="178"/>
    </font>
    <font>
      <b/>
      <sz val="10"/>
      <name val="Arial"/>
      <charset val="134"/>
    </font>
    <font>
      <sz val="10"/>
      <color rgb="FFFF0000"/>
      <name val="Arial"/>
      <charset val="178"/>
    </font>
    <font>
      <b/>
      <i/>
      <sz val="1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1"/>
      <name val="Arial"/>
      <charset val="134"/>
    </font>
    <font>
      <b/>
      <sz val="11"/>
      <color indexed="10"/>
      <name val="Arial"/>
      <charset val="134"/>
    </font>
    <font>
      <b/>
      <sz val="12"/>
      <color indexed="10"/>
      <name val="Arial"/>
      <charset val="134"/>
    </font>
    <font>
      <b/>
      <sz val="12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78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ck">
        <color auto="1"/>
      </left>
      <right/>
      <top style="thick">
        <color auto="1"/>
      </top>
      <bottom style="dashed">
        <color auto="1"/>
      </bottom>
      <diagonal/>
    </border>
    <border>
      <left/>
      <right/>
      <top style="thick">
        <color auto="1"/>
      </top>
      <bottom style="dashed">
        <color auto="1"/>
      </bottom>
      <diagonal/>
    </border>
    <border>
      <left/>
      <right style="thick">
        <color auto="1"/>
      </right>
      <top style="thick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thick">
        <color auto="1"/>
      </bottom>
      <diagonal/>
    </border>
    <border>
      <left/>
      <right/>
      <top style="dashed">
        <color auto="1"/>
      </top>
      <bottom style="thick">
        <color auto="1"/>
      </bottom>
      <diagonal/>
    </border>
    <border>
      <left/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ck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0" fontId="43" fillId="0" borderId="0" applyFont="0" applyFill="0" applyBorder="0" applyAlignment="0" applyProtection="0"/>
    <xf numFmtId="8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8" borderId="6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63" applyNumberFormat="0" applyFill="0" applyAlignment="0" applyProtection="0">
      <alignment vertical="center"/>
    </xf>
    <xf numFmtId="0" fontId="51" fillId="0" borderId="63" applyNumberFormat="0" applyFill="0" applyAlignment="0" applyProtection="0">
      <alignment vertical="center"/>
    </xf>
    <xf numFmtId="0" fontId="52" fillId="0" borderId="6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9" borderId="65" applyNumberFormat="0" applyAlignment="0" applyProtection="0">
      <alignment vertical="center"/>
    </xf>
    <xf numFmtId="0" fontId="54" fillId="10" borderId="66" applyNumberFormat="0" applyAlignment="0" applyProtection="0">
      <alignment vertical="center"/>
    </xf>
    <xf numFmtId="0" fontId="55" fillId="10" borderId="65" applyNumberFormat="0" applyAlignment="0" applyProtection="0">
      <alignment vertical="center"/>
    </xf>
    <xf numFmtId="0" fontId="56" fillId="11" borderId="67" applyNumberFormat="0" applyAlignment="0" applyProtection="0">
      <alignment vertical="center"/>
    </xf>
    <xf numFmtId="0" fontId="57" fillId="0" borderId="68" applyNumberFormat="0" applyFill="0" applyAlignment="0" applyProtection="0">
      <alignment vertical="center"/>
    </xf>
    <xf numFmtId="0" fontId="58" fillId="0" borderId="69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9" fillId="0" borderId="0"/>
  </cellStyleXfs>
  <cellXfs count="2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 readingOrder="2"/>
    </xf>
    <xf numFmtId="177" fontId="2" fillId="0" borderId="3" xfId="0" applyNumberFormat="1" applyFont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left" wrapText="1" readingOrder="2"/>
    </xf>
    <xf numFmtId="0" fontId="3" fillId="4" borderId="2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 vertical="center" wrapText="1" readingOrder="2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 readingOrder="2"/>
    </xf>
    <xf numFmtId="0" fontId="3" fillId="4" borderId="10" xfId="0" applyFont="1" applyFill="1" applyBorder="1" applyAlignment="1">
      <alignment horizontal="center" vertical="center" wrapText="1" readingOrder="2"/>
    </xf>
    <xf numFmtId="0" fontId="3" fillId="4" borderId="9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 readingOrder="2"/>
    </xf>
    <xf numFmtId="0" fontId="9" fillId="0" borderId="0" xfId="0" applyFont="1"/>
    <xf numFmtId="0" fontId="0" fillId="5" borderId="0" xfId="0" applyFont="1" applyFill="1" applyProtection="1">
      <protection locked="0"/>
    </xf>
    <xf numFmtId="0" fontId="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1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10" fillId="0" borderId="13" xfId="0" applyFont="1" applyBorder="1" applyAlignment="1" applyProtection="1">
      <alignment horizontal="center"/>
      <protection locked="0"/>
    </xf>
    <xf numFmtId="0" fontId="11" fillId="0" borderId="14" xfId="0" applyFont="1" applyBorder="1" applyProtection="1">
      <protection locked="0"/>
    </xf>
    <xf numFmtId="0" fontId="12" fillId="0" borderId="15" xfId="0" applyFont="1" applyBorder="1" applyProtection="1">
      <protection locked="0"/>
    </xf>
    <xf numFmtId="0" fontId="12" fillId="0" borderId="16" xfId="0" applyFont="1" applyBorder="1" applyProtection="1">
      <protection locked="0"/>
    </xf>
    <xf numFmtId="0" fontId="13" fillId="0" borderId="14" xfId="0" applyFont="1" applyBorder="1" applyProtection="1">
      <protection locked="0"/>
    </xf>
    <xf numFmtId="0" fontId="14" fillId="0" borderId="15" xfId="0" applyFont="1" applyBorder="1" applyAlignment="1" applyProtection="1">
      <alignment horizontal="center"/>
      <protection locked="0"/>
    </xf>
    <xf numFmtId="0" fontId="12" fillId="0" borderId="14" xfId="0" applyFont="1" applyBorder="1" applyProtection="1">
      <protection locked="0"/>
    </xf>
    <xf numFmtId="178" fontId="14" fillId="0" borderId="15" xfId="0" applyNumberFormat="1" applyFont="1" applyBorder="1" applyAlignment="1" applyProtection="1">
      <alignment horizontal="center"/>
      <protection locked="0"/>
    </xf>
    <xf numFmtId="178" fontId="14" fillId="0" borderId="16" xfId="0" applyNumberFormat="1" applyFont="1" applyBorder="1" applyAlignment="1" applyProtection="1">
      <alignment horizontal="center"/>
      <protection locked="0"/>
    </xf>
    <xf numFmtId="0" fontId="13" fillId="0" borderId="17" xfId="0" applyFont="1" applyBorder="1" applyProtection="1">
      <protection locked="0"/>
    </xf>
    <xf numFmtId="0" fontId="14" fillId="0" borderId="18" xfId="0" applyFont="1" applyBorder="1" applyAlignment="1" applyProtection="1">
      <alignment horizontal="center"/>
      <protection locked="0"/>
    </xf>
    <xf numFmtId="0" fontId="12" fillId="0" borderId="19" xfId="0" applyFont="1" applyBorder="1" applyProtection="1">
      <protection locked="0"/>
    </xf>
    <xf numFmtId="0" fontId="14" fillId="0" borderId="20" xfId="0" applyFont="1" applyBorder="1" applyAlignment="1" applyProtection="1">
      <alignment horizontal="center"/>
      <protection locked="0"/>
    </xf>
    <xf numFmtId="178" fontId="14" fillId="0" borderId="21" xfId="0" applyNumberFormat="1" applyFont="1" applyBorder="1" applyAlignment="1" applyProtection="1">
      <alignment horizontal="center"/>
      <protection locked="0"/>
    </xf>
    <xf numFmtId="0" fontId="12" fillId="0" borderId="22" xfId="0" applyFont="1" applyBorder="1" applyProtection="1">
      <protection locked="0"/>
    </xf>
    <xf numFmtId="0" fontId="14" fillId="0" borderId="23" xfId="0" applyFont="1" applyBorder="1" applyAlignment="1" applyProtection="1">
      <alignment horizontal="center"/>
      <protection locked="0"/>
    </xf>
    <xf numFmtId="178" fontId="12" fillId="0" borderId="24" xfId="0" applyNumberFormat="1" applyFont="1" applyBorder="1" applyAlignment="1" applyProtection="1">
      <alignment horizontal="center"/>
      <protection locked="0"/>
    </xf>
    <xf numFmtId="10" fontId="12" fillId="0" borderId="24" xfId="0" applyNumberFormat="1" applyFont="1" applyBorder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10" fontId="12" fillId="0" borderId="0" xfId="0" applyNumberFormat="1" applyFont="1" applyAlignment="1" applyProtection="1">
      <alignment horizontal="center"/>
      <protection locked="0"/>
    </xf>
    <xf numFmtId="0" fontId="10" fillId="5" borderId="11" xfId="0" applyFont="1" applyFill="1" applyBorder="1" applyAlignment="1" applyProtection="1">
      <alignment horizontal="center"/>
      <protection locked="0"/>
    </xf>
    <xf numFmtId="0" fontId="10" fillId="5" borderId="12" xfId="0" applyFont="1" applyFill="1" applyBorder="1" applyAlignment="1" applyProtection="1">
      <alignment horizontal="center"/>
      <protection locked="0"/>
    </xf>
    <xf numFmtId="0" fontId="10" fillId="5" borderId="13" xfId="0" applyFont="1" applyFill="1" applyBorder="1" applyAlignment="1" applyProtection="1">
      <alignment horizontal="center"/>
      <protection locked="0"/>
    </xf>
    <xf numFmtId="0" fontId="11" fillId="5" borderId="14" xfId="0" applyFont="1" applyFill="1" applyBorder="1" applyProtection="1">
      <protection locked="0"/>
    </xf>
    <xf numFmtId="0" fontId="12" fillId="5" borderId="15" xfId="0" applyFont="1" applyFill="1" applyBorder="1" applyProtection="1">
      <protection locked="0"/>
    </xf>
    <xf numFmtId="0" fontId="12" fillId="5" borderId="16" xfId="0" applyFont="1" applyFill="1" applyBorder="1" applyProtection="1">
      <protection locked="0"/>
    </xf>
    <xf numFmtId="0" fontId="13" fillId="5" borderId="14" xfId="0" applyFont="1" applyFill="1" applyBorder="1" applyProtection="1">
      <protection locked="0"/>
    </xf>
    <xf numFmtId="0" fontId="14" fillId="5" borderId="15" xfId="0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Protection="1">
      <protection locked="0"/>
    </xf>
    <xf numFmtId="178" fontId="14" fillId="5" borderId="15" xfId="0" applyNumberFormat="1" applyFont="1" applyFill="1" applyBorder="1" applyAlignment="1" applyProtection="1">
      <alignment horizontal="center"/>
      <protection locked="0"/>
    </xf>
    <xf numFmtId="178" fontId="14" fillId="5" borderId="16" xfId="0" applyNumberFormat="1" applyFont="1" applyFill="1" applyBorder="1" applyAlignment="1" applyProtection="1">
      <alignment horizontal="center"/>
      <protection locked="0"/>
    </xf>
    <xf numFmtId="0" fontId="13" fillId="5" borderId="17" xfId="0" applyFont="1" applyFill="1" applyBorder="1" applyProtection="1">
      <protection locked="0"/>
    </xf>
    <xf numFmtId="0" fontId="14" fillId="5" borderId="18" xfId="0" applyFont="1" applyFill="1" applyBorder="1" applyAlignment="1" applyProtection="1">
      <alignment horizontal="center"/>
      <protection locked="0"/>
    </xf>
    <xf numFmtId="0" fontId="12" fillId="5" borderId="19" xfId="0" applyFont="1" applyFill="1" applyBorder="1" applyProtection="1">
      <protection locked="0"/>
    </xf>
    <xf numFmtId="0" fontId="14" fillId="5" borderId="20" xfId="0" applyFont="1" applyFill="1" applyBorder="1" applyAlignment="1" applyProtection="1">
      <alignment horizontal="center"/>
      <protection locked="0"/>
    </xf>
    <xf numFmtId="178" fontId="14" fillId="5" borderId="21" xfId="0" applyNumberFormat="1" applyFont="1" applyFill="1" applyBorder="1" applyAlignment="1" applyProtection="1">
      <alignment horizontal="center"/>
      <protection locked="0"/>
    </xf>
    <xf numFmtId="0" fontId="12" fillId="5" borderId="22" xfId="0" applyFont="1" applyFill="1" applyBorder="1" applyProtection="1">
      <protection locked="0"/>
    </xf>
    <xf numFmtId="0" fontId="14" fillId="5" borderId="23" xfId="0" applyFont="1" applyFill="1" applyBorder="1" applyAlignment="1" applyProtection="1">
      <alignment horizontal="center"/>
      <protection locked="0"/>
    </xf>
    <xf numFmtId="178" fontId="12" fillId="5" borderId="24" xfId="0" applyNumberFormat="1" applyFont="1" applyFill="1" applyBorder="1" applyAlignment="1" applyProtection="1">
      <alignment horizontal="center"/>
      <protection locked="0"/>
    </xf>
    <xf numFmtId="10" fontId="12" fillId="5" borderId="24" xfId="0" applyNumberFormat="1" applyFont="1" applyFill="1" applyBorder="1" applyAlignment="1" applyProtection="1">
      <alignment horizontal="center"/>
      <protection locked="0"/>
    </xf>
    <xf numFmtId="0" fontId="14" fillId="0" borderId="16" xfId="0" applyFont="1" applyBorder="1" applyAlignment="1" applyProtection="1">
      <alignment horizontal="center"/>
      <protection locked="0"/>
    </xf>
    <xf numFmtId="0" fontId="0" fillId="0" borderId="0" xfId="0" applyFont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0" fontId="14" fillId="5" borderId="16" xfId="0" applyFont="1" applyFill="1" applyBorder="1" applyAlignment="1" applyProtection="1">
      <alignment horizontal="center"/>
      <protection locked="0"/>
    </xf>
    <xf numFmtId="0" fontId="14" fillId="5" borderId="25" xfId="0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4" fillId="0" borderId="0" xfId="0" applyFont="1"/>
    <xf numFmtId="2" fontId="14" fillId="0" borderId="0" xfId="0" applyNumberFormat="1" applyFont="1"/>
    <xf numFmtId="0" fontId="17" fillId="0" borderId="0" xfId="0" applyFont="1"/>
    <xf numFmtId="9" fontId="14" fillId="0" borderId="0" xfId="0" applyNumberFormat="1" applyFont="1"/>
    <xf numFmtId="0" fontId="18" fillId="0" borderId="0" xfId="0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15" fillId="0" borderId="0" xfId="0" applyFont="1"/>
    <xf numFmtId="0" fontId="15" fillId="0" borderId="0" xfId="0" applyFont="1" applyAlignment="1">
      <alignment horizontal="centerContinuous"/>
    </xf>
    <xf numFmtId="0" fontId="18" fillId="0" borderId="0" xfId="0" applyFont="1"/>
    <xf numFmtId="0" fontId="18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77" fontId="15" fillId="0" borderId="0" xfId="0" applyNumberFormat="1" applyFont="1"/>
    <xf numFmtId="177" fontId="22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Continuous"/>
    </xf>
    <xf numFmtId="2" fontId="14" fillId="0" borderId="0" xfId="0" applyNumberFormat="1" applyFont="1" applyAlignment="1">
      <alignment horizontal="centerContinuous"/>
    </xf>
    <xf numFmtId="2" fontId="15" fillId="0" borderId="0" xfId="0" applyNumberFormat="1" applyFont="1"/>
    <xf numFmtId="2" fontId="15" fillId="0" borderId="0" xfId="0" applyNumberFormat="1" applyFont="1" applyAlignment="1">
      <alignment horizontal="centerContinuous"/>
    </xf>
    <xf numFmtId="2" fontId="18" fillId="0" borderId="0" xfId="0" applyNumberFormat="1" applyFont="1" applyAlignment="1">
      <alignment horizontal="centerContinuous"/>
    </xf>
    <xf numFmtId="0" fontId="17" fillId="0" borderId="0" xfId="0" applyFont="1" applyAlignment="1">
      <alignment horizontal="centerContinuous"/>
    </xf>
    <xf numFmtId="9" fontId="12" fillId="0" borderId="0" xfId="0" applyNumberFormat="1" applyFont="1" applyAlignment="1">
      <alignment horizontal="centerContinuous"/>
    </xf>
    <xf numFmtId="2" fontId="18" fillId="0" borderId="0" xfId="0" applyNumberFormat="1" applyFont="1" applyAlignment="1">
      <alignment horizontal="right"/>
    </xf>
    <xf numFmtId="9" fontId="14" fillId="0" borderId="0" xfId="0" applyNumberFormat="1" applyFont="1" applyAlignment="1">
      <alignment horizontal="right"/>
    </xf>
    <xf numFmtId="2" fontId="15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9" fontId="0" fillId="0" borderId="0" xfId="0" applyNumberFormat="1"/>
    <xf numFmtId="2" fontId="23" fillId="0" borderId="0" xfId="0" applyNumberFormat="1" applyFont="1"/>
    <xf numFmtId="2" fontId="16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25" fillId="0" borderId="0" xfId="0" applyFont="1" applyAlignment="1" applyProtection="1">
      <alignment horizontal="centerContinuous"/>
      <protection locked="0"/>
    </xf>
    <xf numFmtId="0" fontId="26" fillId="0" borderId="0" xfId="0" applyFont="1" applyAlignment="1" applyProtection="1">
      <alignment horizontal="centerContinuous"/>
      <protection locked="0"/>
    </xf>
    <xf numFmtId="0" fontId="27" fillId="0" borderId="0" xfId="0" applyFont="1" applyAlignment="1" applyProtection="1">
      <alignment horizontal="centerContinuous"/>
      <protection locked="0"/>
    </xf>
    <xf numFmtId="177" fontId="27" fillId="0" borderId="0" xfId="0" applyNumberFormat="1" applyFont="1" applyAlignment="1" applyProtection="1">
      <alignment horizontal="centerContinuous"/>
      <protection locked="0"/>
    </xf>
    <xf numFmtId="0" fontId="28" fillId="0" borderId="5" xfId="0" applyFont="1" applyBorder="1" applyAlignment="1" applyProtection="1">
      <alignment horizontal="centerContinuous"/>
      <protection locked="0"/>
    </xf>
    <xf numFmtId="0" fontId="0" fillId="0" borderId="26" xfId="0" applyFont="1" applyBorder="1" applyAlignment="1" applyProtection="1">
      <alignment horizontal="centerContinuous"/>
      <protection locked="0"/>
    </xf>
    <xf numFmtId="0" fontId="0" fillId="0" borderId="6" xfId="0" applyFont="1" applyBorder="1" applyAlignment="1" applyProtection="1">
      <alignment horizontal="centerContinuous"/>
      <protection locked="0"/>
    </xf>
    <xf numFmtId="0" fontId="28" fillId="0" borderId="27" xfId="0" applyFont="1" applyBorder="1" applyAlignment="1" applyProtection="1">
      <alignment horizontal="center"/>
      <protection locked="0"/>
    </xf>
    <xf numFmtId="0" fontId="28" fillId="0" borderId="27" xfId="0" applyFont="1" applyBorder="1" applyAlignment="1" applyProtection="1">
      <alignment horizontal="right"/>
      <protection locked="0"/>
    </xf>
    <xf numFmtId="0" fontId="28" fillId="0" borderId="26" xfId="0" applyFont="1" applyBorder="1" applyAlignment="1" applyProtection="1">
      <alignment horizontal="centerContinuous"/>
      <protection locked="0"/>
    </xf>
    <xf numFmtId="0" fontId="28" fillId="0" borderId="6" xfId="0" applyFont="1" applyBorder="1" applyAlignment="1" applyProtection="1">
      <alignment horizontal="centerContinuous"/>
      <protection locked="0"/>
    </xf>
    <xf numFmtId="0" fontId="28" fillId="0" borderId="28" xfId="0" applyFont="1" applyBorder="1" applyAlignment="1" applyProtection="1">
      <alignment horizontal="center"/>
      <protection locked="0"/>
    </xf>
    <xf numFmtId="0" fontId="28" fillId="0" borderId="29" xfId="0" applyFont="1" applyBorder="1" applyAlignment="1" applyProtection="1">
      <alignment horizontal="right"/>
      <protection locked="0"/>
    </xf>
    <xf numFmtId="0" fontId="28" fillId="0" borderId="15" xfId="0" applyFont="1" applyBorder="1" applyAlignment="1" applyProtection="1">
      <alignment horizontal="right"/>
      <protection locked="0"/>
    </xf>
    <xf numFmtId="0" fontId="28" fillId="0" borderId="28" xfId="0" applyFont="1" applyBorder="1" applyAlignment="1" applyProtection="1">
      <alignment horizontal="right"/>
      <protection locked="0"/>
    </xf>
    <xf numFmtId="0" fontId="28" fillId="0" borderId="0" xfId="0" applyFont="1" applyAlignment="1" applyProtection="1">
      <alignment horizontal="center"/>
      <protection locked="0"/>
    </xf>
    <xf numFmtId="177" fontId="0" fillId="0" borderId="0" xfId="0" applyNumberFormat="1" applyFont="1"/>
    <xf numFmtId="177" fontId="0" fillId="0" borderId="0" xfId="0" applyNumberFormat="1" applyFont="1" applyProtection="1">
      <protection locked="0"/>
    </xf>
    <xf numFmtId="179" fontId="0" fillId="0" borderId="0" xfId="0" applyNumberFormat="1" applyFont="1"/>
    <xf numFmtId="179" fontId="0" fillId="0" borderId="0" xfId="3" applyNumberFormat="1" applyFont="1" applyFill="1" applyProtection="1">
      <protection locked="0"/>
    </xf>
    <xf numFmtId="0" fontId="29" fillId="0" borderId="0" xfId="0" applyFont="1" applyProtection="1">
      <protection locked="0"/>
    </xf>
    <xf numFmtId="179" fontId="29" fillId="0" borderId="0" xfId="0" applyNumberFormat="1" applyFont="1" applyProtection="1">
      <protection locked="0"/>
    </xf>
    <xf numFmtId="2" fontId="0" fillId="0" borderId="0" xfId="0" applyNumberFormat="1" applyFont="1" applyAlignment="1" applyProtection="1">
      <alignment horizontal="right"/>
      <protection locked="0"/>
    </xf>
    <xf numFmtId="0" fontId="30" fillId="0" borderId="0" xfId="0" applyFont="1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179" fontId="28" fillId="0" borderId="0" xfId="0" applyNumberFormat="1" applyFont="1" applyProtection="1">
      <protection locked="0"/>
    </xf>
    <xf numFmtId="0" fontId="28" fillId="0" borderId="30" xfId="0" applyFont="1" applyBorder="1" applyAlignment="1" applyProtection="1">
      <alignment horizontal="right"/>
      <protection locked="0"/>
    </xf>
    <xf numFmtId="0" fontId="28" fillId="0" borderId="31" xfId="0" applyFont="1" applyBorder="1" applyAlignment="1" applyProtection="1">
      <alignment horizontal="right"/>
      <protection locked="0"/>
    </xf>
    <xf numFmtId="0" fontId="28" fillId="0" borderId="31" xfId="0" applyFont="1" applyBorder="1" applyAlignment="1" applyProtection="1">
      <alignment horizontal="center"/>
      <protection locked="0"/>
    </xf>
    <xf numFmtId="0" fontId="28" fillId="0" borderId="32" xfId="0" applyFont="1" applyBorder="1" applyAlignment="1" applyProtection="1">
      <alignment horizontal="right"/>
      <protection locked="0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horizontal="center"/>
      <protection locked="0"/>
    </xf>
    <xf numFmtId="0" fontId="32" fillId="6" borderId="0" xfId="0" applyFont="1" applyFill="1" applyProtection="1">
      <protection locked="0"/>
    </xf>
    <xf numFmtId="180" fontId="0" fillId="6" borderId="0" xfId="1" applyNumberFormat="1" applyFont="1" applyFill="1" applyProtection="1">
      <protection locked="0"/>
    </xf>
    <xf numFmtId="180" fontId="0" fillId="0" borderId="0" xfId="1" applyNumberFormat="1" applyFont="1" applyFill="1" applyProtection="1">
      <protection locked="0"/>
    </xf>
    <xf numFmtId="38" fontId="0" fillId="0" borderId="0" xfId="1" applyNumberFormat="1" applyFont="1" applyFill="1" applyProtection="1">
      <protection locked="0"/>
    </xf>
    <xf numFmtId="0" fontId="32" fillId="0" borderId="0" xfId="0" applyFont="1" applyProtection="1">
      <protection locked="0"/>
    </xf>
    <xf numFmtId="0" fontId="32" fillId="7" borderId="0" xfId="0" applyFont="1" applyFill="1" applyProtection="1">
      <protection locked="0"/>
    </xf>
    <xf numFmtId="180" fontId="0" fillId="7" borderId="0" xfId="1" applyNumberFormat="1" applyFont="1" applyFill="1" applyProtection="1">
      <protection locked="0"/>
    </xf>
    <xf numFmtId="0" fontId="0" fillId="0" borderId="0" xfId="0" applyFont="1" applyAlignment="1" applyProtection="1">
      <alignment horizontal="right"/>
      <protection locked="0"/>
    </xf>
    <xf numFmtId="0" fontId="28" fillId="0" borderId="0" xfId="0" applyFont="1" applyAlignment="1" applyProtection="1">
      <alignment horizontal="right"/>
      <protection locked="0"/>
    </xf>
    <xf numFmtId="177" fontId="28" fillId="0" borderId="0" xfId="0" applyNumberFormat="1" applyFont="1" applyProtection="1">
      <protection locked="0"/>
    </xf>
    <xf numFmtId="180" fontId="33" fillId="0" borderId="15" xfId="0" applyNumberFormat="1" applyFont="1" applyBorder="1" applyProtection="1">
      <protection locked="0"/>
    </xf>
    <xf numFmtId="10" fontId="9" fillId="0" borderId="0" xfId="3" applyNumberFormat="1" applyFont="1" applyFill="1" applyBorder="1" applyProtection="1">
      <protection locked="0"/>
    </xf>
    <xf numFmtId="0" fontId="10" fillId="0" borderId="33" xfId="0" applyFont="1" applyBorder="1" applyAlignment="1" applyProtection="1">
      <alignment horizontal="center"/>
      <protection locked="0"/>
    </xf>
    <xf numFmtId="0" fontId="0" fillId="0" borderId="34" xfId="0" applyFont="1" applyBorder="1" applyProtection="1">
      <protection locked="0"/>
    </xf>
    <xf numFmtId="0" fontId="0" fillId="0" borderId="35" xfId="0" applyFont="1" applyBorder="1" applyProtection="1">
      <protection locked="0"/>
    </xf>
    <xf numFmtId="10" fontId="34" fillId="0" borderId="35" xfId="3" applyNumberFormat="1" applyFont="1" applyFill="1" applyBorder="1" applyAlignment="1" applyProtection="1">
      <alignment horizontal="center"/>
      <protection locked="0"/>
    </xf>
    <xf numFmtId="0" fontId="34" fillId="0" borderId="36" xfId="0" applyFont="1" applyBorder="1" applyAlignment="1" applyProtection="1">
      <alignment horizontal="center"/>
      <protection locked="0"/>
    </xf>
    <xf numFmtId="0" fontId="13" fillId="0" borderId="37" xfId="0" applyFont="1" applyBorder="1" applyAlignment="1" applyProtection="1">
      <alignment horizontal="center"/>
      <protection locked="0"/>
    </xf>
    <xf numFmtId="0" fontId="28" fillId="0" borderId="38" xfId="0" applyFont="1" applyBorder="1" applyProtection="1">
      <protection locked="0"/>
    </xf>
    <xf numFmtId="0" fontId="28" fillId="0" borderId="39" xfId="0" applyFont="1" applyBorder="1" applyProtection="1">
      <protection locked="0"/>
    </xf>
    <xf numFmtId="8" fontId="9" fillId="0" borderId="39" xfId="2" applyFont="1" applyFill="1" applyBorder="1" applyAlignment="1" applyProtection="1">
      <alignment horizontal="right"/>
    </xf>
    <xf numFmtId="181" fontId="0" fillId="0" borderId="40" xfId="0" applyNumberFormat="1" applyFont="1" applyBorder="1" applyAlignment="1" applyProtection="1">
      <alignment horizontal="right"/>
      <protection locked="0"/>
    </xf>
    <xf numFmtId="182" fontId="0" fillId="0" borderId="0" xfId="0" applyNumberFormat="1" applyFont="1" applyProtection="1">
      <protection locked="0"/>
    </xf>
    <xf numFmtId="0" fontId="0" fillId="0" borderId="38" xfId="0" applyFont="1" applyBorder="1" applyProtection="1">
      <protection locked="0"/>
    </xf>
    <xf numFmtId="0" fontId="0" fillId="0" borderId="39" xfId="0" applyFont="1" applyBorder="1" applyProtection="1">
      <protection locked="0"/>
    </xf>
    <xf numFmtId="0" fontId="32" fillId="0" borderId="41" xfId="0" applyFont="1" applyBorder="1" applyProtection="1">
      <protection locked="0"/>
    </xf>
    <xf numFmtId="0" fontId="0" fillId="0" borderId="42" xfId="0" applyFont="1" applyBorder="1" applyProtection="1">
      <protection locked="0"/>
    </xf>
    <xf numFmtId="8" fontId="9" fillId="0" borderId="42" xfId="2" applyFont="1" applyFill="1" applyBorder="1" applyAlignment="1" applyProtection="1">
      <alignment horizontal="right"/>
    </xf>
    <xf numFmtId="181" fontId="9" fillId="0" borderId="43" xfId="0" applyNumberFormat="1" applyFont="1" applyBorder="1" applyAlignment="1" applyProtection="1">
      <alignment horizontal="right"/>
      <protection locked="0"/>
    </xf>
    <xf numFmtId="0" fontId="32" fillId="0" borderId="44" xfId="0" applyFont="1" applyBorder="1" applyProtection="1">
      <protection locked="0"/>
    </xf>
    <xf numFmtId="0" fontId="0" fillId="0" borderId="45" xfId="0" applyFont="1" applyBorder="1" applyProtection="1">
      <protection locked="0"/>
    </xf>
    <xf numFmtId="8" fontId="9" fillId="0" borderId="45" xfId="2" applyFont="1" applyFill="1" applyBorder="1" applyAlignment="1" applyProtection="1">
      <alignment horizontal="right"/>
    </xf>
    <xf numFmtId="181" fontId="9" fillId="0" borderId="46" xfId="0" applyNumberFormat="1" applyFont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0" fontId="32" fillId="0" borderId="34" xfId="0" applyFont="1" applyBorder="1" applyProtection="1">
      <protection locked="0"/>
    </xf>
    <xf numFmtId="8" fontId="9" fillId="0" borderId="35" xfId="2" applyFont="1" applyFill="1" applyBorder="1" applyAlignment="1" applyProtection="1">
      <alignment horizontal="right"/>
    </xf>
    <xf numFmtId="181" fontId="0" fillId="0" borderId="36" xfId="0" applyNumberFormat="1" applyFont="1" applyBorder="1" applyAlignment="1" applyProtection="1">
      <alignment horizontal="right"/>
      <protection locked="0"/>
    </xf>
    <xf numFmtId="0" fontId="36" fillId="0" borderId="0" xfId="0" applyFont="1"/>
    <xf numFmtId="0" fontId="13" fillId="0" borderId="47" xfId="0" applyFont="1" applyBorder="1" applyAlignment="1" applyProtection="1">
      <alignment horizontal="center"/>
      <protection locked="0"/>
    </xf>
    <xf numFmtId="0" fontId="37" fillId="0" borderId="0" xfId="0" applyFont="1" applyProtection="1">
      <protection locked="0"/>
    </xf>
    <xf numFmtId="8" fontId="38" fillId="0" borderId="39" xfId="2" applyFont="1" applyFill="1" applyBorder="1" applyAlignment="1" applyProtection="1">
      <alignment horizontal="right"/>
    </xf>
    <xf numFmtId="0" fontId="38" fillId="0" borderId="0" xfId="0" applyFont="1" applyProtection="1">
      <protection locked="0"/>
    </xf>
    <xf numFmtId="0" fontId="32" fillId="0" borderId="48" xfId="0" applyFont="1" applyBorder="1" applyProtection="1">
      <protection locked="0"/>
    </xf>
    <xf numFmtId="8" fontId="9" fillId="0" borderId="0" xfId="2" applyFont="1" applyFill="1" applyBorder="1" applyAlignment="1" applyProtection="1">
      <alignment horizontal="right"/>
    </xf>
    <xf numFmtId="181" fontId="0" fillId="0" borderId="49" xfId="0" applyNumberFormat="1" applyFont="1" applyBorder="1" applyAlignment="1" applyProtection="1">
      <alignment horizontal="right"/>
      <protection locked="0"/>
    </xf>
    <xf numFmtId="0" fontId="0" fillId="0" borderId="50" xfId="0" applyFont="1" applyBorder="1" applyProtection="1">
      <protection locked="0"/>
    </xf>
    <xf numFmtId="0" fontId="0" fillId="0" borderId="51" xfId="0" applyFont="1" applyBorder="1" applyProtection="1">
      <protection locked="0"/>
    </xf>
    <xf numFmtId="8" fontId="9" fillId="0" borderId="51" xfId="2" applyFont="1" applyFill="1" applyBorder="1" applyAlignment="1" applyProtection="1">
      <alignment horizontal="right"/>
    </xf>
    <xf numFmtId="181" fontId="9" fillId="0" borderId="52" xfId="0" applyNumberFormat="1" applyFont="1" applyBorder="1" applyAlignment="1" applyProtection="1">
      <alignment horizontal="right"/>
      <protection locked="0"/>
    </xf>
    <xf numFmtId="0" fontId="32" fillId="0" borderId="53" xfId="0" applyFont="1" applyBorder="1" applyProtection="1">
      <protection locked="0"/>
    </xf>
    <xf numFmtId="0" fontId="0" fillId="0" borderId="54" xfId="0" applyFont="1" applyBorder="1" applyProtection="1">
      <protection locked="0"/>
    </xf>
    <xf numFmtId="8" fontId="9" fillId="0" borderId="54" xfId="2" applyFont="1" applyFill="1" applyBorder="1" applyAlignment="1" applyProtection="1">
      <alignment horizontal="right"/>
    </xf>
    <xf numFmtId="181" fontId="9" fillId="0" borderId="55" xfId="0" applyNumberFormat="1" applyFont="1" applyBorder="1" applyAlignment="1" applyProtection="1">
      <alignment horizontal="right"/>
      <protection locked="0"/>
    </xf>
    <xf numFmtId="0" fontId="0" fillId="0" borderId="41" xfId="0" applyFont="1" applyBorder="1" applyProtection="1">
      <protection locked="0"/>
    </xf>
    <xf numFmtId="10" fontId="32" fillId="0" borderId="42" xfId="3" applyNumberFormat="1" applyFont="1" applyFill="1" applyBorder="1" applyProtection="1">
      <protection locked="0"/>
    </xf>
    <xf numFmtId="10" fontId="32" fillId="0" borderId="43" xfId="3" applyNumberFormat="1" applyFont="1" applyFill="1" applyBorder="1" applyProtection="1">
      <protection locked="0"/>
    </xf>
    <xf numFmtId="10" fontId="32" fillId="0" borderId="0" xfId="3" applyNumberFormat="1" applyFont="1" applyFill="1" applyBorder="1" applyProtection="1">
      <protection locked="0"/>
    </xf>
    <xf numFmtId="179" fontId="39" fillId="0" borderId="0" xfId="0" applyNumberFormat="1" applyFont="1" applyProtection="1">
      <protection locked="0"/>
    </xf>
    <xf numFmtId="0" fontId="39" fillId="0" borderId="0" xfId="0" applyFont="1" applyProtection="1">
      <protection locked="0"/>
    </xf>
    <xf numFmtId="0" fontId="40" fillId="0" borderId="0" xfId="0" applyFont="1" applyAlignment="1" applyProtection="1">
      <alignment horizontal="center"/>
      <protection locked="0"/>
    </xf>
    <xf numFmtId="177" fontId="40" fillId="0" borderId="0" xfId="0" applyNumberFormat="1" applyFont="1" applyAlignment="1" applyProtection="1">
      <alignment horizontal="center"/>
      <protection locked="0"/>
    </xf>
    <xf numFmtId="0" fontId="37" fillId="0" borderId="0" xfId="0" applyFont="1" applyAlignment="1" applyProtection="1">
      <alignment horizontal="center"/>
      <protection locked="0"/>
    </xf>
    <xf numFmtId="177" fontId="0" fillId="0" borderId="0" xfId="0" applyNumberFormat="1" applyFont="1" applyAlignment="1" applyProtection="1">
      <alignment horizontal="center"/>
      <protection locked="0"/>
    </xf>
    <xf numFmtId="9" fontId="0" fillId="0" borderId="0" xfId="3" applyFont="1" applyFill="1" applyProtection="1">
      <protection locked="0"/>
    </xf>
    <xf numFmtId="177" fontId="37" fillId="0" borderId="0" xfId="0" applyNumberFormat="1" applyFont="1" applyAlignment="1" applyProtection="1">
      <alignment horizontal="center"/>
      <protection locked="0"/>
    </xf>
    <xf numFmtId="0" fontId="41" fillId="0" borderId="0" xfId="0" applyFont="1" applyProtection="1">
      <protection locked="0"/>
    </xf>
    <xf numFmtId="0" fontId="41" fillId="0" borderId="0" xfId="0" applyFont="1" applyAlignment="1" applyProtection="1">
      <alignment horizontal="center"/>
      <protection locked="0"/>
    </xf>
    <xf numFmtId="1" fontId="41" fillId="0" borderId="0" xfId="0" applyNumberFormat="1" applyFont="1" applyAlignment="1" applyProtection="1">
      <alignment horizontal="center"/>
      <protection locked="0"/>
    </xf>
    <xf numFmtId="177" fontId="41" fillId="0" borderId="0" xfId="0" applyNumberFormat="1" applyFont="1" applyAlignment="1">
      <alignment horizontal="center"/>
    </xf>
    <xf numFmtId="177" fontId="41" fillId="0" borderId="0" xfId="0" applyNumberFormat="1" applyFont="1" applyAlignment="1" applyProtection="1">
      <alignment horizontal="center"/>
      <protection locked="0"/>
    </xf>
    <xf numFmtId="58" fontId="32" fillId="0" borderId="0" xfId="0" applyNumberFormat="1" applyFont="1" applyProtection="1">
      <protection locked="0"/>
    </xf>
    <xf numFmtId="38" fontId="0" fillId="0" borderId="0" xfId="0" applyNumberFormat="1" applyFont="1" applyProtection="1">
      <protection locked="0"/>
    </xf>
    <xf numFmtId="179" fontId="0" fillId="0" borderId="0" xfId="0" applyNumberFormat="1" applyFont="1" applyProtection="1">
      <protection locked="0"/>
    </xf>
    <xf numFmtId="2" fontId="0" fillId="0" borderId="0" xfId="0" applyNumberFormat="1" applyFont="1" applyProtection="1">
      <protection locked="0"/>
    </xf>
    <xf numFmtId="1" fontId="0" fillId="0" borderId="0" xfId="0" applyNumberFormat="1" applyFont="1" applyProtection="1">
      <protection locked="0"/>
    </xf>
    <xf numFmtId="0" fontId="33" fillId="0" borderId="0" xfId="0" applyFont="1" applyAlignment="1" applyProtection="1">
      <alignment horizontal="center"/>
      <protection locked="0"/>
    </xf>
    <xf numFmtId="0" fontId="33" fillId="0" borderId="15" xfId="0" applyFont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15" xfId="0" applyFont="1" applyBorder="1" applyProtection="1">
      <protection locked="0"/>
    </xf>
    <xf numFmtId="0" fontId="0" fillId="0" borderId="56" xfId="0" applyFont="1" applyBorder="1" applyProtection="1">
      <protection locked="0"/>
    </xf>
    <xf numFmtId="0" fontId="10" fillId="0" borderId="57" xfId="0" applyFont="1" applyBorder="1" applyAlignment="1" applyProtection="1">
      <alignment horizontal="center"/>
      <protection locked="0"/>
    </xf>
    <xf numFmtId="0" fontId="10" fillId="0" borderId="58" xfId="0" applyFont="1" applyBorder="1" applyAlignment="1" applyProtection="1">
      <alignment horizontal="center"/>
      <protection locked="0"/>
    </xf>
    <xf numFmtId="0" fontId="13" fillId="0" borderId="59" xfId="0" applyFont="1" applyBorder="1" applyAlignment="1" applyProtection="1">
      <alignment horizontal="center"/>
      <protection locked="0"/>
    </xf>
    <xf numFmtId="183" fontId="13" fillId="0" borderId="60" xfId="0" applyNumberFormat="1" applyFont="1" applyBorder="1" applyAlignment="1" applyProtection="1">
      <alignment horizontal="center"/>
      <protection locked="0"/>
    </xf>
    <xf numFmtId="0" fontId="13" fillId="0" borderId="60" xfId="0" applyFont="1" applyBorder="1" applyAlignment="1" applyProtection="1">
      <alignment horizontal="center"/>
      <protection locked="0"/>
    </xf>
    <xf numFmtId="0" fontId="13" fillId="0" borderId="61" xfId="0" applyFont="1" applyBorder="1" applyAlignment="1" applyProtection="1">
      <alignment horizontal="center"/>
      <protection locked="0"/>
    </xf>
    <xf numFmtId="38" fontId="42" fillId="0" borderId="0" xfId="0" applyNumberFormat="1" applyFont="1" applyProtection="1">
      <protection locked="0"/>
    </xf>
    <xf numFmtId="179" fontId="42" fillId="0" borderId="0" xfId="0" applyNumberFormat="1" applyFont="1" applyProtection="1">
      <protection locked="0"/>
    </xf>
    <xf numFmtId="0" fontId="42" fillId="0" borderId="0" xfId="0" applyFont="1" applyProtection="1">
      <protection locked="0"/>
    </xf>
    <xf numFmtId="1" fontId="42" fillId="0" borderId="0" xfId="0" applyNumberFormat="1" applyFont="1" applyProtection="1">
      <protection locked="0"/>
    </xf>
    <xf numFmtId="177" fontId="42" fillId="0" borderId="0" xfId="0" applyNumberFormat="1" applyFont="1" applyProtection="1"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1"/>
  <sheetViews>
    <sheetView zoomScale="68" zoomScaleNormal="68" workbookViewId="0">
      <pane xSplit="2" topLeftCell="C1" activePane="topRight" state="frozenSplit"/>
      <selection/>
      <selection pane="topRight" activeCell="I1" sqref="I1"/>
    </sheetView>
  </sheetViews>
  <sheetFormatPr defaultColWidth="9.26851851851852" defaultRowHeight="13.2"/>
  <cols>
    <col min="1" max="1" width="10.2685185185185" style="29" customWidth="1"/>
    <col min="2" max="2" width="13.7222222222222" style="29" customWidth="1"/>
    <col min="3" max="3" width="10.2685185185185" style="29" customWidth="1"/>
    <col min="4" max="4" width="14.7222222222222" style="29" customWidth="1"/>
    <col min="5" max="5" width="10.7222222222222" style="29" customWidth="1"/>
    <col min="6" max="6" width="13.5462962962963" style="29" customWidth="1"/>
    <col min="7" max="7" width="10.2685185185185" style="29" customWidth="1"/>
    <col min="8" max="8" width="9.26851851851852" style="29"/>
    <col min="9" max="9" width="14.4537037037037" style="29" customWidth="1"/>
    <col min="10" max="10" width="11.2685185185185" style="30" customWidth="1"/>
    <col min="11" max="11" width="12.5462962962963" style="29" customWidth="1"/>
    <col min="12" max="12" width="9.26851851851852" style="29"/>
    <col min="13" max="13" width="6.5462962962963" style="29" customWidth="1"/>
    <col min="14" max="14" width="8.26851851851852" style="29" customWidth="1"/>
    <col min="15" max="26" width="9.26851851851852" style="29"/>
    <col min="27" max="27" width="12.5462962962963" style="29" customWidth="1"/>
    <col min="28" max="16384" width="9.26851851851852" style="29"/>
  </cols>
  <sheetData>
    <row r="1" ht="21" spans="1:13">
      <c r="A1" s="115" t="str">
        <f>"Formula "&amp;ROUND(B6,0)&amp;"-"&amp;ROUND(B7,0)&amp;"-"&amp;ROUND(B8,0)</f>
        <v>Formula 10-10-40</v>
      </c>
      <c r="B1" s="116"/>
      <c r="C1" s="116"/>
      <c r="D1" s="116"/>
      <c r="E1" s="116"/>
      <c r="F1" s="117" t="s">
        <v>0</v>
      </c>
      <c r="G1" s="118">
        <f>B6</f>
        <v>10.0200400801603</v>
      </c>
      <c r="H1" s="118">
        <f>B7</f>
        <v>10.0200400801603</v>
      </c>
      <c r="I1" s="118">
        <f>B8</f>
        <v>40.0801603206413</v>
      </c>
      <c r="J1" s="204">
        <f>B10/100</f>
        <v>0.00501002004008016</v>
      </c>
      <c r="K1" s="205" t="s">
        <v>1</v>
      </c>
      <c r="L1" s="206" t="s">
        <v>2</v>
      </c>
      <c r="M1" s="207">
        <f>B11</f>
        <v>0</v>
      </c>
    </row>
    <row r="2" ht="17.4" spans="1:9">
      <c r="A2" s="115"/>
      <c r="B2" s="116"/>
      <c r="C2" s="116"/>
      <c r="D2" s="116"/>
      <c r="E2" s="116"/>
      <c r="F2" s="116"/>
      <c r="G2" s="116" t="s">
        <v>3</v>
      </c>
      <c r="H2" s="116" t="s">
        <v>3</v>
      </c>
      <c r="I2" s="116"/>
    </row>
    <row r="3" ht="12.75" customHeight="1" spans="1:14">
      <c r="A3" s="119" t="s">
        <v>4</v>
      </c>
      <c r="B3" s="120"/>
      <c r="C3" s="120"/>
      <c r="D3" s="121"/>
      <c r="E3" s="116" t="s">
        <v>3</v>
      </c>
      <c r="F3" s="119" t="s">
        <v>4</v>
      </c>
      <c r="G3" s="120"/>
      <c r="H3" s="120"/>
      <c r="I3" s="121"/>
      <c r="K3" s="208" t="s">
        <v>5</v>
      </c>
      <c r="L3" s="208"/>
      <c r="M3" s="208" t="s">
        <v>6</v>
      </c>
      <c r="N3" s="208"/>
    </row>
    <row r="4" ht="12.75" customHeight="1" spans="1:14">
      <c r="A4" s="122" t="s">
        <v>7</v>
      </c>
      <c r="B4" s="123" t="s">
        <v>0</v>
      </c>
      <c r="C4" s="124" t="s">
        <v>8</v>
      </c>
      <c r="D4" s="125"/>
      <c r="E4" s="116" t="s">
        <v>3</v>
      </c>
      <c r="F4" s="123" t="s">
        <v>7</v>
      </c>
      <c r="G4" s="123" t="s">
        <v>0</v>
      </c>
      <c r="H4" s="124" t="s">
        <v>8</v>
      </c>
      <c r="I4" s="125"/>
      <c r="K4" s="29" t="s">
        <v>9</v>
      </c>
      <c r="L4" s="209">
        <f>(5*B23/B33)</f>
        <v>0</v>
      </c>
      <c r="M4" s="29" t="s">
        <v>10</v>
      </c>
      <c r="N4" s="209">
        <f>(61*B25/B33)</f>
        <v>6.16178268935488</v>
      </c>
    </row>
    <row r="5" ht="12.75" customHeight="1" spans="1:14">
      <c r="A5" s="126"/>
      <c r="B5" s="127" t="s">
        <v>11</v>
      </c>
      <c r="C5" s="128" t="s">
        <v>12</v>
      </c>
      <c r="D5" s="128" t="s">
        <v>13</v>
      </c>
      <c r="F5" s="129"/>
      <c r="G5" s="127" t="s">
        <v>11</v>
      </c>
      <c r="H5" s="128" t="s">
        <v>12</v>
      </c>
      <c r="I5" s="128" t="s">
        <v>13</v>
      </c>
      <c r="K5" s="29" t="s">
        <v>14</v>
      </c>
      <c r="L5" s="209">
        <f>(46*B24/B33)</f>
        <v>7.49733332463369</v>
      </c>
      <c r="M5" s="29" t="s">
        <v>15</v>
      </c>
      <c r="N5" s="209">
        <f>52*B28/B33</f>
        <v>3.85825739080544</v>
      </c>
    </row>
    <row r="6" spans="1:12">
      <c r="A6" s="130" t="s">
        <v>16</v>
      </c>
      <c r="B6" s="131">
        <f>SUMPRODUCT($B$20:$B$31,Data!B10:B21)/B33</f>
        <v>10.0200400801603</v>
      </c>
      <c r="C6" s="132">
        <v>20</v>
      </c>
      <c r="D6" s="132">
        <f>C6+0.5</f>
        <v>20.5</v>
      </c>
      <c r="E6" s="132" t="str">
        <f>IF(OR(B6&lt;C6,B6&gt;D6),"**"," ")</f>
        <v>**</v>
      </c>
      <c r="F6" s="29" t="s">
        <v>17</v>
      </c>
      <c r="G6" s="133">
        <f>(SUMPRODUCT($B$20:$B$31,Data!$B$10:$B$21,Data!M10:M21)/B33)*0.01</f>
        <v>0.0660758176321102</v>
      </c>
      <c r="H6" s="134">
        <v>0</v>
      </c>
      <c r="I6" s="210">
        <v>1</v>
      </c>
      <c r="K6" s="29" t="s">
        <v>15</v>
      </c>
      <c r="L6" s="209">
        <f>(34*B28/B33)</f>
        <v>2.52270675552663</v>
      </c>
    </row>
    <row r="7" spans="1:12">
      <c r="A7" s="130" t="s">
        <v>18</v>
      </c>
      <c r="B7" s="131">
        <f>SUMPRODUCT($B$20:$B$31*Data!C10:C21)/B33</f>
        <v>10.0200400801603</v>
      </c>
      <c r="C7" s="132">
        <v>20</v>
      </c>
      <c r="D7" s="132">
        <f>C7+0.5</f>
        <v>20.5</v>
      </c>
      <c r="E7" s="132" t="str">
        <f t="shared" ref="E7:E13" si="0">IF(OR(B7&lt;C7,B7&gt;D7),"**"," ")</f>
        <v>**</v>
      </c>
      <c r="F7" s="29" t="s">
        <v>19</v>
      </c>
      <c r="G7" s="133">
        <f>(SUMPRODUCT($B$20:$B$31,Data!$B$10:$B$21,Data!N10:N21)/B33)/100</f>
        <v>0.0121215397167637</v>
      </c>
      <c r="H7" s="134">
        <v>0</v>
      </c>
      <c r="I7" s="210">
        <v>1</v>
      </c>
      <c r="K7" s="29" t="s">
        <v>20</v>
      </c>
      <c r="L7" s="209">
        <f>(50*B29/B33)</f>
        <v>0</v>
      </c>
    </row>
    <row r="8" spans="1:12">
      <c r="A8" s="130" t="s">
        <v>21</v>
      </c>
      <c r="B8" s="131">
        <f>SUMPRODUCT($B$20:$B$31*Data!D10:D21)/B33</f>
        <v>40.0801603206413</v>
      </c>
      <c r="C8" s="132">
        <v>20</v>
      </c>
      <c r="D8" s="132">
        <f>C8+0.5</f>
        <v>20.5</v>
      </c>
      <c r="E8" s="132" t="str">
        <f t="shared" si="0"/>
        <v>**</v>
      </c>
      <c r="F8" s="29" t="s">
        <v>22</v>
      </c>
      <c r="G8" s="133">
        <f>(SUMPRODUCT($B$20:$B$31,Data!$B$10:$B$21,Data!O10:O21)/B33)*0.01</f>
        <v>0.0220030434527293</v>
      </c>
      <c r="H8" s="134">
        <v>0</v>
      </c>
      <c r="I8" s="210">
        <v>1</v>
      </c>
      <c r="K8" s="29" t="s">
        <v>23</v>
      </c>
      <c r="L8" s="209">
        <f>(60.5*B20/B33)</f>
        <v>30.310621242485</v>
      </c>
    </row>
    <row r="9" ht="13.8" spans="1:14">
      <c r="A9" s="130" t="s">
        <v>24</v>
      </c>
      <c r="B9" s="131">
        <f>SUMPRODUCT($B$20:$B$31*Data!E10:E21)/B33</f>
        <v>0.391407815631263</v>
      </c>
      <c r="C9" s="132">
        <v>0</v>
      </c>
      <c r="D9" s="132">
        <v>100</v>
      </c>
      <c r="E9" s="132" t="str">
        <f t="shared" si="0"/>
        <v> </v>
      </c>
      <c r="F9" s="135" t="s">
        <v>25</v>
      </c>
      <c r="G9" s="136">
        <f>SUM(G6:G8)</f>
        <v>0.100200400801603</v>
      </c>
      <c r="K9" s="186" t="s">
        <v>26</v>
      </c>
      <c r="L9" s="211">
        <f>SUM(L4:L8)</f>
        <v>40.3306613226453</v>
      </c>
      <c r="N9" s="211">
        <f>SUM(N4:N8)</f>
        <v>10.0200400801603</v>
      </c>
    </row>
    <row r="10" spans="1:5">
      <c r="A10" s="130" t="s">
        <v>27</v>
      </c>
      <c r="B10" s="131">
        <f>SUMPRODUCT($B$20:$B$31*Data!F10:F21)/B33</f>
        <v>0.501002004008016</v>
      </c>
      <c r="C10" s="132">
        <v>1</v>
      </c>
      <c r="D10" s="132">
        <v>2</v>
      </c>
      <c r="E10" s="132" t="str">
        <f t="shared" si="0"/>
        <v>**</v>
      </c>
    </row>
    <row r="11" spans="1:5">
      <c r="A11" s="130" t="s">
        <v>28</v>
      </c>
      <c r="B11" s="131" cm="1">
        <f t="array" ref="B11">SUMPRODUCT($B$20:$B$31*Data!G10:G21)/B33</f>
        <v>0</v>
      </c>
      <c r="C11" s="132">
        <v>0</v>
      </c>
      <c r="D11" s="132">
        <v>100</v>
      </c>
      <c r="E11" s="132" t="str">
        <f t="shared" si="0"/>
        <v> </v>
      </c>
    </row>
    <row r="12" ht="15.6" spans="2:12">
      <c r="B12" s="132">
        <f>SUMPRODUCT($B$20:$B$31*Data!F12:F23)/B33</f>
        <v>3.23241059113699</v>
      </c>
      <c r="C12" s="137">
        <v>0</v>
      </c>
      <c r="D12" s="132">
        <v>100</v>
      </c>
      <c r="E12" s="132" t="str">
        <f>IF(OR(J13&lt;C12,J13&gt;D12),"**"," ")</f>
        <v> </v>
      </c>
      <c r="I12" s="212" t="s">
        <v>29</v>
      </c>
      <c r="J12" s="213" t="s">
        <v>30</v>
      </c>
      <c r="K12" s="213" t="s">
        <v>31</v>
      </c>
      <c r="L12" s="213" t="s">
        <v>32</v>
      </c>
    </row>
    <row r="13" ht="15.6" spans="1:12">
      <c r="A13" s="138" t="s">
        <v>33</v>
      </c>
      <c r="B13" s="131">
        <f>SUMPRODUCT($B$20:$B$31*Data!I10:I21)/B33</f>
        <v>1.1721344949909</v>
      </c>
      <c r="C13" s="137">
        <v>0</v>
      </c>
      <c r="D13" s="132">
        <v>100</v>
      </c>
      <c r="E13" s="132" t="str">
        <f t="shared" si="0"/>
        <v> </v>
      </c>
      <c r="I13" s="214">
        <f>SUM(J20:J31)</f>
        <v>661.105210357634</v>
      </c>
      <c r="J13" s="215">
        <f>SUM(I20:I31)/I19</f>
        <v>12.1383556010581</v>
      </c>
      <c r="K13" s="216">
        <f>(B20*0.473)/10</f>
        <v>47.3</v>
      </c>
      <c r="L13" s="216">
        <f>B9*2.5</f>
        <v>0.978519539078156</v>
      </c>
    </row>
    <row r="14" spans="1:7">
      <c r="A14" s="130"/>
      <c r="B14" s="131"/>
      <c r="C14" s="137"/>
      <c r="D14" s="132"/>
      <c r="F14" s="139"/>
      <c r="G14" s="140"/>
    </row>
    <row r="15" ht="13.95" spans="1:1">
      <c r="A15" s="139" t="s">
        <v>34</v>
      </c>
    </row>
    <row r="16" ht="13.95" spans="2:21">
      <c r="B16" s="141" t="s">
        <v>0</v>
      </c>
      <c r="D16" s="119" t="s">
        <v>8</v>
      </c>
      <c r="E16" s="125"/>
      <c r="G16" s="141" t="s">
        <v>35</v>
      </c>
      <c r="M16" s="217"/>
      <c r="N16" s="217"/>
      <c r="O16" s="151"/>
      <c r="P16" s="151"/>
      <c r="Q16" s="151"/>
      <c r="R16" s="151"/>
      <c r="S16" s="151"/>
      <c r="T16" s="151"/>
      <c r="U16" s="151"/>
    </row>
    <row r="17" spans="2:21">
      <c r="B17" s="142" t="s">
        <v>11</v>
      </c>
      <c r="D17" s="122" t="s">
        <v>12</v>
      </c>
      <c r="E17" s="122" t="s">
        <v>13</v>
      </c>
      <c r="F17" s="75"/>
      <c r="G17" s="143" t="s">
        <v>36</v>
      </c>
      <c r="M17" s="218"/>
      <c r="N17" s="218"/>
      <c r="O17" s="218"/>
      <c r="P17" s="218"/>
      <c r="Q17" s="218"/>
      <c r="R17" s="218"/>
      <c r="S17" s="233"/>
      <c r="T17" s="233"/>
      <c r="U17" s="218"/>
    </row>
    <row r="18" ht="13.95" spans="2:21">
      <c r="B18" s="144" t="s">
        <v>37</v>
      </c>
      <c r="D18" s="129" t="s">
        <v>37</v>
      </c>
      <c r="E18" s="129" t="s">
        <v>37</v>
      </c>
      <c r="G18" s="144" t="s">
        <v>38</v>
      </c>
      <c r="J18" s="29"/>
      <c r="M18" s="219"/>
      <c r="N18" s="219"/>
      <c r="O18" s="219"/>
      <c r="P18" s="219"/>
      <c r="Q18" s="219"/>
      <c r="R18" s="219"/>
      <c r="S18" s="234"/>
      <c r="T18" s="234"/>
      <c r="U18" s="219"/>
    </row>
    <row r="19" ht="13.95" spans="1:20">
      <c r="A19" s="145"/>
      <c r="G19" s="146"/>
      <c r="H19" s="29" t="s">
        <v>39</v>
      </c>
      <c r="I19" s="220">
        <f>(1000-B22)/1000</f>
        <v>0.713288408709365</v>
      </c>
      <c r="J19" s="29"/>
      <c r="S19" s="235"/>
      <c r="T19" s="235"/>
    </row>
    <row r="20" spans="1:21">
      <c r="A20" s="147" t="str">
        <f>Data!A10</f>
        <v>KCL</v>
      </c>
      <c r="B20" s="148">
        <v>1000</v>
      </c>
      <c r="C20" s="149"/>
      <c r="D20" s="149">
        <v>0</v>
      </c>
      <c r="E20" s="149">
        <v>0</v>
      </c>
      <c r="G20" s="150">
        <v>420</v>
      </c>
      <c r="I20" s="29">
        <f>((8*(B20/1000))*$I$19)</f>
        <v>5.70630726967492</v>
      </c>
      <c r="J20" s="29">
        <f>280*(B20/1000)</f>
        <v>280</v>
      </c>
      <c r="K20" s="132"/>
      <c r="L20" s="132"/>
      <c r="M20" s="221"/>
      <c r="N20" s="221"/>
      <c r="O20" s="221"/>
      <c r="P20" s="221"/>
      <c r="Q20" s="221"/>
      <c r="R20" s="221"/>
      <c r="S20" s="236"/>
      <c r="T20" s="236"/>
      <c r="U20" s="221"/>
    </row>
    <row r="21" spans="1:21">
      <c r="A21" s="151" t="str">
        <f>Data!A11</f>
        <v>AS</v>
      </c>
      <c r="B21" s="149">
        <v>0</v>
      </c>
      <c r="C21" s="149"/>
      <c r="D21" s="149">
        <v>0</v>
      </c>
      <c r="E21" s="149">
        <v>1000</v>
      </c>
      <c r="G21" s="150">
        <v>400</v>
      </c>
      <c r="I21" s="29">
        <f>((5*(B21/1000))*$I$19)</f>
        <v>0</v>
      </c>
      <c r="J21" s="29">
        <f>180*(B21/1000)</f>
        <v>0</v>
      </c>
      <c r="K21" s="132"/>
      <c r="L21" s="132"/>
      <c r="M21" s="221"/>
      <c r="N21" s="221"/>
      <c r="O21" s="221"/>
      <c r="P21" s="221"/>
      <c r="Q21" s="221"/>
      <c r="R21" s="221"/>
      <c r="S21" s="236"/>
      <c r="T21" s="236"/>
      <c r="U21" s="221"/>
    </row>
    <row r="22" spans="1:21">
      <c r="A22" s="151" t="str">
        <f>Data!A12</f>
        <v>Urea</v>
      </c>
      <c r="B22" s="149">
        <v>286.711591290635</v>
      </c>
      <c r="C22" s="149"/>
      <c r="D22" s="149">
        <v>0</v>
      </c>
      <c r="E22" s="149">
        <v>1000</v>
      </c>
      <c r="G22" s="150">
        <v>826</v>
      </c>
      <c r="I22" s="29">
        <f>((0*(B22/1000))*$I$19)</f>
        <v>0</v>
      </c>
      <c r="J22" s="29">
        <f>800*(B22/1000)</f>
        <v>229.369273032508</v>
      </c>
      <c r="K22" s="132"/>
      <c r="L22" s="132"/>
      <c r="M22" s="221"/>
      <c r="N22" s="221"/>
      <c r="O22" s="221"/>
      <c r="P22" s="221"/>
      <c r="Q22" s="221"/>
      <c r="R22" s="221"/>
      <c r="S22" s="236"/>
      <c r="T22" s="236"/>
      <c r="U22" s="221"/>
    </row>
    <row r="23" spans="1:21">
      <c r="A23" s="151" t="str">
        <f>Data!A13</f>
        <v>26-0-0</v>
      </c>
      <c r="B23" s="149">
        <v>0</v>
      </c>
      <c r="C23" s="149"/>
      <c r="D23" s="149">
        <v>0</v>
      </c>
      <c r="E23" s="149">
        <v>0</v>
      </c>
      <c r="G23" s="150">
        <v>1250</v>
      </c>
      <c r="I23" s="29">
        <f>((5*(B23/1000))*$I$19)</f>
        <v>0</v>
      </c>
      <c r="J23" s="29">
        <f>700*(B23/1000)</f>
        <v>0</v>
      </c>
      <c r="K23" s="132"/>
      <c r="L23" s="132"/>
      <c r="M23" s="221"/>
      <c r="N23" s="221"/>
      <c r="O23" s="221"/>
      <c r="P23" s="221"/>
      <c r="Q23" s="221"/>
      <c r="R23" s="221"/>
      <c r="S23" s="236"/>
      <c r="T23" s="236"/>
      <c r="U23" s="221"/>
    </row>
    <row r="24" spans="1:21">
      <c r="A24" s="151" t="str">
        <f>Data!A14</f>
        <v>NOP</v>
      </c>
      <c r="B24" s="149">
        <v>325.319072086279</v>
      </c>
      <c r="C24" s="149"/>
      <c r="D24" s="149">
        <v>0</v>
      </c>
      <c r="E24" s="149">
        <v>1000</v>
      </c>
      <c r="G24" s="150">
        <v>1044</v>
      </c>
      <c r="I24" s="29">
        <f>((8*(B24/1000))*$I$19)</f>
        <v>1.85637058600983</v>
      </c>
      <c r="J24" s="29">
        <f>180*(B24/1000)</f>
        <v>58.5574329755302</v>
      </c>
      <c r="K24" s="132"/>
      <c r="L24" s="132"/>
      <c r="M24" s="221"/>
      <c r="N24" s="221"/>
      <c r="O24" s="221"/>
      <c r="P24" s="221"/>
      <c r="Q24" s="221"/>
      <c r="R24" s="221"/>
      <c r="S24" s="236"/>
      <c r="T24" s="236"/>
      <c r="U24" s="221"/>
    </row>
    <row r="25" spans="1:21">
      <c r="A25" s="151" t="str">
        <f>Data!A15</f>
        <v>MAP Tech</v>
      </c>
      <c r="B25" s="149">
        <v>201.62161062217</v>
      </c>
      <c r="C25" s="149"/>
      <c r="D25" s="149">
        <v>0</v>
      </c>
      <c r="E25" s="149">
        <v>1000</v>
      </c>
      <c r="G25" s="150">
        <v>1140</v>
      </c>
      <c r="I25" s="29">
        <f>((3.8*(B25/1000))*$I$19)</f>
        <v>0.546494559648005</v>
      </c>
      <c r="J25" s="29">
        <f>240*(B25/1000)</f>
        <v>48.3891865493207</v>
      </c>
      <c r="K25" s="132"/>
      <c r="L25" s="132"/>
      <c r="M25" s="221"/>
      <c r="N25" s="221"/>
      <c r="O25" s="221"/>
      <c r="P25" s="221"/>
      <c r="Q25" s="221"/>
      <c r="R25" s="221"/>
      <c r="S25" s="236"/>
      <c r="T25" s="236"/>
      <c r="U25" s="221"/>
    </row>
    <row r="26" spans="1:21">
      <c r="A26" s="151" t="str">
        <f>Data!A16</f>
        <v>UP</v>
      </c>
      <c r="B26" s="149">
        <v>0</v>
      </c>
      <c r="C26" s="149"/>
      <c r="D26" s="149">
        <v>0</v>
      </c>
      <c r="E26" s="149">
        <v>1000</v>
      </c>
      <c r="G26" s="150">
        <v>1600</v>
      </c>
      <c r="I26" s="29">
        <f>((1.2*(B26/1000))*$I$19)</f>
        <v>0</v>
      </c>
      <c r="J26" s="29">
        <f>960*(B26/1000)</f>
        <v>0</v>
      </c>
      <c r="K26" s="132"/>
      <c r="L26" s="132"/>
      <c r="M26" s="221"/>
      <c r="N26" s="221"/>
      <c r="O26" s="221"/>
      <c r="P26" s="221"/>
      <c r="Q26" s="221"/>
      <c r="R26" s="221"/>
      <c r="S26" s="236"/>
      <c r="T26" s="236"/>
      <c r="U26" s="221"/>
    </row>
    <row r="27" spans="1:21">
      <c r="A27" s="151" t="str">
        <f>Data!A17</f>
        <v>MgS</v>
      </c>
      <c r="B27" s="149">
        <v>31.25</v>
      </c>
      <c r="C27" s="149"/>
      <c r="D27" s="149">
        <v>0</v>
      </c>
      <c r="E27" s="149">
        <v>1000</v>
      </c>
      <c r="G27" s="150">
        <v>680</v>
      </c>
      <c r="I27" s="29">
        <f>((5*(B27/1000))*$I$19)</f>
        <v>0.111451313860838</v>
      </c>
      <c r="J27" s="29">
        <f>0*(B27/1000)</f>
        <v>0</v>
      </c>
      <c r="K27" s="132"/>
      <c r="L27" s="132"/>
      <c r="M27" s="221"/>
      <c r="N27" s="221"/>
      <c r="O27" s="221"/>
      <c r="P27" s="221"/>
      <c r="Q27" s="221"/>
      <c r="R27" s="221"/>
      <c r="S27" s="236"/>
      <c r="T27" s="236"/>
      <c r="U27" s="221"/>
    </row>
    <row r="28" spans="1:21">
      <c r="A28" s="151" t="str">
        <f>Data!A18</f>
        <v>MKP</v>
      </c>
      <c r="B28" s="149">
        <v>148.097726000916</v>
      </c>
      <c r="C28" s="149"/>
      <c r="D28" s="149">
        <v>0</v>
      </c>
      <c r="E28" s="149">
        <v>1000</v>
      </c>
      <c r="G28" s="150">
        <v>1958</v>
      </c>
      <c r="I28" s="29">
        <f>((4*(B28/1000))*$I$19)</f>
        <v>0.422545565250677</v>
      </c>
      <c r="J28" s="29">
        <f>300*(B28/1000)</f>
        <v>44.4293178002749</v>
      </c>
      <c r="K28" s="132"/>
      <c r="L28" s="132"/>
      <c r="M28" s="221"/>
      <c r="N28" s="221"/>
      <c r="O28" s="221"/>
      <c r="P28" s="221"/>
      <c r="Q28" s="221"/>
      <c r="R28" s="221"/>
      <c r="S28" s="236"/>
      <c r="T28" s="236"/>
      <c r="U28" s="221"/>
    </row>
    <row r="29" spans="1:21">
      <c r="A29" s="151" t="str">
        <f>Data!A19</f>
        <v>SOP C</v>
      </c>
      <c r="B29" s="149">
        <v>0</v>
      </c>
      <c r="C29" s="149"/>
      <c r="D29" s="149">
        <v>0</v>
      </c>
      <c r="E29" s="149">
        <v>1000</v>
      </c>
      <c r="G29" s="150">
        <v>740</v>
      </c>
      <c r="I29" s="29">
        <f>((3*(B29/1000))*$I$19)</f>
        <v>0</v>
      </c>
      <c r="J29" s="29">
        <f>120*(B29/1000)</f>
        <v>0</v>
      </c>
      <c r="K29" s="132"/>
      <c r="L29" s="132"/>
      <c r="M29" s="221"/>
      <c r="N29" s="221"/>
      <c r="O29" s="221"/>
      <c r="P29" s="221"/>
      <c r="Q29" s="221"/>
      <c r="R29" s="221"/>
      <c r="S29" s="236"/>
      <c r="T29" s="236"/>
      <c r="U29" s="221"/>
    </row>
    <row r="30" spans="1:20">
      <c r="A30" s="152" t="s">
        <v>40</v>
      </c>
      <c r="B30" s="153">
        <v>1</v>
      </c>
      <c r="C30" s="149"/>
      <c r="D30" s="149">
        <v>5</v>
      </c>
      <c r="E30" s="149">
        <v>5</v>
      </c>
      <c r="G30" s="150">
        <v>3754</v>
      </c>
      <c r="I30" s="29">
        <f>((7*(B30/1000))*$I$19)</f>
        <v>0.00499301886096556</v>
      </c>
      <c r="J30" s="29">
        <f>120*(B30/1000)</f>
        <v>0.12</v>
      </c>
      <c r="K30" s="132"/>
      <c r="L30" s="132"/>
      <c r="T30" s="235"/>
    </row>
    <row r="31" spans="1:20">
      <c r="A31" s="151" t="s">
        <v>41</v>
      </c>
      <c r="B31" s="149">
        <v>2</v>
      </c>
      <c r="C31" s="149"/>
      <c r="D31" s="149">
        <v>2</v>
      </c>
      <c r="E31" s="149">
        <v>2</v>
      </c>
      <c r="G31" s="150">
        <v>1000</v>
      </c>
      <c r="H31" s="154"/>
      <c r="I31" s="29">
        <f>((7*(B31/1000))*$I$19)</f>
        <v>0.00998603772193111</v>
      </c>
      <c r="J31" s="29">
        <f>120*(B31/1000)</f>
        <v>0.24</v>
      </c>
      <c r="K31" s="132"/>
      <c r="L31" s="132"/>
      <c r="M31" s="132"/>
      <c r="N31" s="132"/>
      <c r="O31" s="132"/>
      <c r="P31" s="132"/>
      <c r="Q31" s="132"/>
      <c r="R31" s="132"/>
      <c r="S31" s="132"/>
      <c r="T31" s="237"/>
    </row>
    <row r="32" spans="1:2">
      <c r="A32" s="151"/>
      <c r="B32" s="132"/>
    </row>
    <row r="33" spans="1:12">
      <c r="A33" s="155" t="s">
        <v>26</v>
      </c>
      <c r="B33" s="156">
        <f>SUM(B20:B32)</f>
        <v>1996</v>
      </c>
      <c r="C33" s="154"/>
      <c r="D33" s="154"/>
      <c r="E33" s="154"/>
      <c r="F33" s="154"/>
      <c r="G33" s="154"/>
      <c r="I33" s="222"/>
      <c r="J33" s="222"/>
      <c r="K33" s="222"/>
      <c r="L33" s="222"/>
    </row>
    <row r="34" spans="8:12">
      <c r="H34" s="157">
        <f>B30</f>
        <v>1</v>
      </c>
      <c r="I34" s="223" t="s">
        <v>42</v>
      </c>
      <c r="J34" s="224"/>
      <c r="K34" s="225"/>
      <c r="L34" s="226"/>
    </row>
    <row r="35" ht="16.35" spans="2:11">
      <c r="B35" s="29">
        <v>0.71</v>
      </c>
      <c r="C35" s="158"/>
      <c r="E35" s="75" t="s">
        <v>43</v>
      </c>
      <c r="H35" s="159" t="s">
        <v>44</v>
      </c>
      <c r="I35" s="227"/>
      <c r="J35" s="228" t="s">
        <v>45</v>
      </c>
      <c r="K35" s="228" t="s">
        <v>46</v>
      </c>
    </row>
    <row r="36" ht="16.35" spans="1:11">
      <c r="A36" s="160"/>
      <c r="B36" s="161"/>
      <c r="C36" s="162" t="s">
        <v>47</v>
      </c>
      <c r="D36" s="163" t="s">
        <v>48</v>
      </c>
      <c r="E36" s="29">
        <v>1.35</v>
      </c>
      <c r="G36" s="29" t="s">
        <v>3</v>
      </c>
      <c r="H36" s="164" t="s">
        <v>49</v>
      </c>
      <c r="I36" s="229"/>
      <c r="J36" s="230">
        <f t="shared" ref="J36:J41" si="1">K36/10000</f>
        <v>0.0008</v>
      </c>
      <c r="K36" s="231">
        <f>B30*8</f>
        <v>8</v>
      </c>
    </row>
    <row r="37" ht="15.6" spans="1:11">
      <c r="A37" s="165" t="s">
        <v>36</v>
      </c>
      <c r="B37" s="166" t="s">
        <v>50</v>
      </c>
      <c r="C37" s="167">
        <f t="array" ref="C37">SUM(G20:G31*B20:B31)/1000</f>
        <v>1543.28486928321</v>
      </c>
      <c r="D37" s="168">
        <f>C37*$B$35</f>
        <v>1095.73225719108</v>
      </c>
      <c r="E37" s="169">
        <f>C37/$E$36</f>
        <v>1143.17397724682</v>
      </c>
      <c r="G37" s="29" t="s">
        <v>3</v>
      </c>
      <c r="H37" s="164" t="s">
        <v>51</v>
      </c>
      <c r="I37" s="229"/>
      <c r="J37" s="230">
        <f t="shared" si="1"/>
        <v>0.0026</v>
      </c>
      <c r="K37" s="231">
        <f>B30*26</f>
        <v>26</v>
      </c>
    </row>
    <row r="38" ht="15.6" spans="1:11">
      <c r="A38" s="170" t="s">
        <v>52</v>
      </c>
      <c r="B38" s="171"/>
      <c r="C38" s="167">
        <v>100</v>
      </c>
      <c r="D38" s="168">
        <f t="shared" ref="D38:D48" si="2">C38*$B$35</f>
        <v>71</v>
      </c>
      <c r="E38" s="169">
        <f t="shared" ref="E38:E48" si="3">C38/$E$36</f>
        <v>74.0740740740741</v>
      </c>
      <c r="H38" s="164" t="s">
        <v>53</v>
      </c>
      <c r="I38" s="229"/>
      <c r="J38" s="230">
        <f t="shared" si="1"/>
        <v>0.0051</v>
      </c>
      <c r="K38" s="231">
        <f>B30*51</f>
        <v>51</v>
      </c>
    </row>
    <row r="39" ht="16.35" spans="1:11">
      <c r="A39" s="172" t="s">
        <v>54</v>
      </c>
      <c r="B39" s="173"/>
      <c r="C39" s="174">
        <f>SUM(C37:C38)</f>
        <v>1643.28486928321</v>
      </c>
      <c r="D39" s="175">
        <f t="shared" si="2"/>
        <v>1166.73225719108</v>
      </c>
      <c r="E39" s="169">
        <f t="shared" si="3"/>
        <v>1217.24805132089</v>
      </c>
      <c r="H39" s="164" t="s">
        <v>55</v>
      </c>
      <c r="I39" s="229"/>
      <c r="J39" s="230">
        <f t="shared" si="1"/>
        <v>0.0026</v>
      </c>
      <c r="K39" s="231">
        <f>B30*26</f>
        <v>26</v>
      </c>
    </row>
    <row r="40" ht="17.1" spans="1:11">
      <c r="A40" s="176"/>
      <c r="B40" s="177"/>
      <c r="C40" s="178"/>
      <c r="D40" s="179"/>
      <c r="E40" s="169"/>
      <c r="F40" s="180"/>
      <c r="H40" s="164" t="s">
        <v>56</v>
      </c>
      <c r="I40" s="229"/>
      <c r="J40" s="230">
        <f t="shared" si="1"/>
        <v>0.0026</v>
      </c>
      <c r="K40" s="231">
        <f>B30*26</f>
        <v>26</v>
      </c>
    </row>
    <row r="41" ht="17.1" spans="1:11">
      <c r="A41" s="181" t="s">
        <v>57</v>
      </c>
      <c r="B41" s="161"/>
      <c r="C41" s="182">
        <v>40</v>
      </c>
      <c r="D41" s="183">
        <f t="shared" si="2"/>
        <v>28.4</v>
      </c>
      <c r="E41" s="169">
        <f t="shared" si="3"/>
        <v>29.6296296296296</v>
      </c>
      <c r="F41" s="184" t="s">
        <v>58</v>
      </c>
      <c r="H41" s="185" t="s">
        <v>59</v>
      </c>
      <c r="I41" s="232"/>
      <c r="J41" s="230">
        <f t="shared" si="1"/>
        <v>5e-5</v>
      </c>
      <c r="K41" s="231">
        <f>B30*0.5</f>
        <v>0.5</v>
      </c>
    </row>
    <row r="42" ht="13.8" spans="1:10">
      <c r="A42" s="170" t="s">
        <v>60</v>
      </c>
      <c r="B42" s="171"/>
      <c r="C42" s="167">
        <v>10</v>
      </c>
      <c r="D42" s="168">
        <f t="shared" si="2"/>
        <v>7.1</v>
      </c>
      <c r="E42" s="169">
        <f t="shared" si="3"/>
        <v>7.40740740740741</v>
      </c>
      <c r="F42" s="186"/>
      <c r="J42" s="29"/>
    </row>
    <row r="43" ht="13.8" spans="1:6">
      <c r="A43" s="170" t="s">
        <v>61</v>
      </c>
      <c r="B43" s="187"/>
      <c r="C43" s="167">
        <v>0</v>
      </c>
      <c r="D43" s="168">
        <f t="shared" si="2"/>
        <v>0</v>
      </c>
      <c r="E43" s="169">
        <f t="shared" si="3"/>
        <v>0</v>
      </c>
      <c r="F43" s="188" t="s">
        <v>62</v>
      </c>
    </row>
    <row r="44" ht="13.8" spans="1:6">
      <c r="A44" s="170" t="s">
        <v>63</v>
      </c>
      <c r="B44" s="171"/>
      <c r="C44" s="167">
        <v>0</v>
      </c>
      <c r="D44" s="168">
        <f t="shared" si="2"/>
        <v>0</v>
      </c>
      <c r="E44" s="169">
        <f t="shared" si="3"/>
        <v>0</v>
      </c>
      <c r="F44" s="188"/>
    </row>
    <row r="45" ht="13.95" spans="1:10">
      <c r="A45" s="189" t="s">
        <v>64</v>
      </c>
      <c r="C45" s="190">
        <f>SUM(C39:C44)</f>
        <v>1693.28486928321</v>
      </c>
      <c r="D45" s="191">
        <f>SUM(D39:D44)</f>
        <v>1202.23225719108</v>
      </c>
      <c r="E45" s="169">
        <f t="shared" si="3"/>
        <v>1254.28508835793</v>
      </c>
      <c r="J45" s="29"/>
    </row>
    <row r="46" ht="14.7" spans="1:10">
      <c r="A46" s="192"/>
      <c r="B46" s="193"/>
      <c r="C46" s="194"/>
      <c r="D46" s="195"/>
      <c r="E46" s="169"/>
      <c r="J46" s="29"/>
    </row>
    <row r="47" ht="14.55" spans="1:10">
      <c r="A47" s="196" t="s">
        <v>65</v>
      </c>
      <c r="B47" s="197"/>
      <c r="C47" s="198">
        <v>1325</v>
      </c>
      <c r="D47" s="199">
        <f t="shared" si="2"/>
        <v>940.75</v>
      </c>
      <c r="E47" s="169">
        <f t="shared" si="3"/>
        <v>981.481481481481</v>
      </c>
      <c r="F47" s="188"/>
      <c r="G47" s="29" t="s">
        <v>3</v>
      </c>
      <c r="J47" s="29"/>
    </row>
    <row r="48" spans="1:10">
      <c r="A48" s="170" t="s">
        <v>66</v>
      </c>
      <c r="B48" s="171"/>
      <c r="C48" s="167">
        <f>C47-C45</f>
        <v>-368.284869283207</v>
      </c>
      <c r="D48" s="199">
        <f t="shared" si="2"/>
        <v>-261.482257191077</v>
      </c>
      <c r="E48" s="169">
        <f t="shared" si="3"/>
        <v>-272.80360687645</v>
      </c>
      <c r="J48" s="29"/>
    </row>
    <row r="49" ht="13.95" spans="1:10">
      <c r="A49" s="200" t="s">
        <v>67</v>
      </c>
      <c r="B49" s="173"/>
      <c r="C49" s="201">
        <f>C48/C47</f>
        <v>-0.277950844742043</v>
      </c>
      <c r="D49" s="202">
        <f>D48/D47</f>
        <v>-0.277950844742043</v>
      </c>
      <c r="J49" s="29"/>
    </row>
    <row r="50" ht="13.95" spans="4:10">
      <c r="D50" s="203"/>
      <c r="J50" s="29"/>
    </row>
    <row r="51" spans="10:10">
      <c r="J51" s="29"/>
    </row>
  </sheetData>
  <mergeCells count="10">
    <mergeCell ref="K3:L3"/>
    <mergeCell ref="M3:N3"/>
    <mergeCell ref="I33:L33"/>
    <mergeCell ref="H35:I35"/>
    <mergeCell ref="H36:I36"/>
    <mergeCell ref="H37:I37"/>
    <mergeCell ref="H38:I38"/>
    <mergeCell ref="H39:I39"/>
    <mergeCell ref="H40:I40"/>
    <mergeCell ref="H41:I41"/>
  </mergeCells>
  <dataValidations count="2">
    <dataValidation type="list" allowBlank="1" showInputMessage="1" showErrorMessage="1" sqref="F43">
      <formula1>validinco</formula1>
    </dataValidation>
    <dataValidation type="list" allowBlank="1" showInputMessage="1" showErrorMessage="1" sqref="F47">
      <formula1>validcustomer</formula1>
    </dataValidation>
  </dataValidations>
  <pageMargins left="0.52" right="0.17" top="1.59" bottom="1" header="0.67" footer="0.5"/>
  <pageSetup paperSize="9" scale="60" orientation="portrait" horizontalDpi="360" verticalDpi="360"/>
  <headerFooter alignWithMargins="0">
    <oddHeader>&amp;LAYMAN</oddHeader>
    <oddFooter>&amp;L&amp;"Arial,Bold" Confidential JOMOCHEM&amp;C&amp;D&amp;RPage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3"/>
  <sheetViews>
    <sheetView topLeftCell="A5" workbookViewId="0">
      <pane xSplit="1" ySplit="3" topLeftCell="B8" activePane="bottomRight" state="frozenSplit"/>
      <selection/>
      <selection pane="topRight"/>
      <selection pane="bottomLeft"/>
      <selection pane="bottomRight" activeCell="B7" sqref="B7:D7"/>
    </sheetView>
  </sheetViews>
  <sheetFormatPr defaultColWidth="9.26851851851852" defaultRowHeight="13.2"/>
  <cols>
    <col min="1" max="1" width="9.72222222222222" style="82" customWidth="1"/>
    <col min="2" max="2" width="5.72222222222222" style="82" customWidth="1"/>
    <col min="3" max="3" width="6.26851851851852" style="82" customWidth="1"/>
    <col min="4" max="8" width="6.72222222222222" style="82" customWidth="1"/>
    <col min="9" max="9" width="6.72222222222222" style="83" customWidth="1"/>
    <col min="10" max="10" width="7.4537037037037" style="82" customWidth="1"/>
    <col min="11" max="11" width="4.26851851851852" style="82" customWidth="1"/>
    <col min="12" max="12" width="4.26851851851852" style="84" customWidth="1"/>
    <col min="13" max="15" width="6.4537037037037" style="85" customWidth="1"/>
    <col min="16" max="16384" width="9.26851851851852" style="82"/>
  </cols>
  <sheetData>
    <row r="1" spans="1:10">
      <c r="A1" s="86"/>
      <c r="B1" s="87"/>
      <c r="C1" s="87"/>
      <c r="D1" s="87"/>
      <c r="E1" s="87"/>
      <c r="F1" s="87"/>
      <c r="G1" s="87"/>
      <c r="H1" s="87"/>
      <c r="I1" s="100"/>
      <c r="J1" s="87"/>
    </row>
    <row r="2" spans="1:10">
      <c r="A2" s="88"/>
      <c r="B2" s="88"/>
      <c r="C2" s="88"/>
      <c r="D2" s="89"/>
      <c r="E2" s="88"/>
      <c r="F2" s="88"/>
      <c r="G2" s="88"/>
      <c r="H2" s="88"/>
      <c r="I2" s="101"/>
      <c r="J2" s="88"/>
    </row>
    <row r="3" spans="1:10">
      <c r="A3"/>
      <c r="B3" s="89"/>
      <c r="C3" s="89"/>
      <c r="D3" s="89"/>
      <c r="E3" s="89"/>
      <c r="F3" s="89"/>
      <c r="G3" s="89"/>
      <c r="H3" s="89"/>
      <c r="I3" s="102"/>
      <c r="J3" s="89"/>
    </row>
    <row r="4" spans="1:10">
      <c r="A4" s="88"/>
      <c r="B4" s="88"/>
      <c r="C4" s="88"/>
      <c r="D4" s="89"/>
      <c r="E4" s="88"/>
      <c r="F4" s="88"/>
      <c r="G4" s="88"/>
      <c r="H4" s="88"/>
      <c r="I4" s="101"/>
      <c r="J4" s="88"/>
    </row>
    <row r="5" spans="1:15">
      <c r="A5" s="86" t="s">
        <v>68</v>
      </c>
      <c r="B5" s="86"/>
      <c r="C5" s="86"/>
      <c r="D5" s="86"/>
      <c r="E5" s="86"/>
      <c r="F5" s="86"/>
      <c r="G5" s="86"/>
      <c r="H5" s="86"/>
      <c r="I5" s="103"/>
      <c r="J5" s="86"/>
      <c r="L5" s="104"/>
      <c r="M5" s="105" t="s">
        <v>69</v>
      </c>
      <c r="N5" s="105"/>
      <c r="O5" s="105"/>
    </row>
    <row r="6" spans="1:10">
      <c r="A6" s="86"/>
      <c r="B6" s="86"/>
      <c r="C6" s="86"/>
      <c r="D6" s="86"/>
      <c r="E6" s="86"/>
      <c r="F6" s="86"/>
      <c r="G6" s="86"/>
      <c r="H6" s="86"/>
      <c r="I6" s="103"/>
      <c r="J6" s="86"/>
    </row>
    <row r="7" s="80" customFormat="1" spans="1:15">
      <c r="A7" s="90" t="s">
        <v>70</v>
      </c>
      <c r="B7" s="91" t="s">
        <v>16</v>
      </c>
      <c r="C7" s="91" t="s">
        <v>18</v>
      </c>
      <c r="D7" s="91" t="s">
        <v>21</v>
      </c>
      <c r="E7" s="91" t="s">
        <v>24</v>
      </c>
      <c r="F7" s="91" t="s">
        <v>27</v>
      </c>
      <c r="G7" s="91" t="s">
        <v>71</v>
      </c>
      <c r="H7" s="91" t="s">
        <v>72</v>
      </c>
      <c r="I7" s="106" t="s">
        <v>73</v>
      </c>
      <c r="J7"/>
      <c r="L7"/>
      <c r="M7" s="107" t="s">
        <v>74</v>
      </c>
      <c r="N7" s="107" t="s">
        <v>75</v>
      </c>
      <c r="O7" s="107" t="s">
        <v>76</v>
      </c>
    </row>
    <row r="8" spans="1:15">
      <c r="A8" s="90"/>
      <c r="B8" s="92"/>
      <c r="C8" s="92"/>
      <c r="D8" s="92"/>
      <c r="E8" s="92"/>
      <c r="F8" s="92"/>
      <c r="G8" s="92"/>
      <c r="H8" s="92"/>
      <c r="I8" s="108"/>
      <c r="J8"/>
      <c r="L8"/>
      <c r="M8"/>
      <c r="N8"/>
      <c r="O8"/>
    </row>
    <row r="9" spans="1:15">
      <c r="A9" s="93"/>
      <c r="B9" s="94"/>
      <c r="C9" s="94"/>
      <c r="D9" s="94"/>
      <c r="E9" s="94"/>
      <c r="F9" s="94"/>
      <c r="G9" s="94"/>
      <c r="H9" s="94"/>
      <c r="I9" s="109"/>
      <c r="J9"/>
      <c r="L9"/>
      <c r="N9" s="110"/>
      <c r="O9" s="110"/>
    </row>
    <row r="10" spans="1:16">
      <c r="A10" s="95" t="s">
        <v>23</v>
      </c>
      <c r="B10" s="96">
        <v>0</v>
      </c>
      <c r="C10" s="96">
        <v>0</v>
      </c>
      <c r="D10" s="96">
        <v>60</v>
      </c>
      <c r="E10" s="96">
        <v>0</v>
      </c>
      <c r="F10" s="96">
        <v>0</v>
      </c>
      <c r="G10" s="96">
        <v>0</v>
      </c>
      <c r="H10" s="96">
        <v>0</v>
      </c>
      <c r="I10" s="101">
        <v>1.6</v>
      </c>
      <c r="J10"/>
      <c r="L10"/>
      <c r="N10" s="85">
        <v>0</v>
      </c>
      <c r="O10" s="85">
        <v>0</v>
      </c>
      <c r="P10" s="82" t="str">
        <f>IF(AND(B10&gt;0,SUM(M10:O10)&lt;&gt;1),"**","")</f>
        <v/>
      </c>
    </row>
    <row r="11" spans="1:16">
      <c r="A11" s="95" t="s">
        <v>77</v>
      </c>
      <c r="B11" s="96">
        <v>21</v>
      </c>
      <c r="C11" s="96">
        <v>0</v>
      </c>
      <c r="D11" s="96">
        <v>0</v>
      </c>
      <c r="E11" s="96">
        <v>24</v>
      </c>
      <c r="F11" s="96">
        <v>0</v>
      </c>
      <c r="G11" s="96">
        <v>0</v>
      </c>
      <c r="H11" s="96">
        <v>0</v>
      </c>
      <c r="I11" s="101">
        <v>1.9</v>
      </c>
      <c r="J11"/>
      <c r="L11"/>
      <c r="N11" s="85">
        <v>1</v>
      </c>
      <c r="O11" s="85">
        <f>1-N11-M11</f>
        <v>0</v>
      </c>
      <c r="P11" s="82" t="str">
        <f t="shared" ref="P11:P21" si="0">IF(AND(B11&gt;0,SUM(M11:O11)&lt;&gt;1),"**","")</f>
        <v/>
      </c>
    </row>
    <row r="12" spans="1:16">
      <c r="A12" s="95" t="s">
        <v>74</v>
      </c>
      <c r="B12" s="96">
        <v>46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101">
        <v>0</v>
      </c>
      <c r="J12"/>
      <c r="L12"/>
      <c r="M12" s="85">
        <v>1</v>
      </c>
      <c r="O12" s="85">
        <f>1-N12-M12</f>
        <v>0</v>
      </c>
      <c r="P12" s="82" t="str">
        <f t="shared" si="0"/>
        <v/>
      </c>
    </row>
    <row r="13" spans="1:16">
      <c r="A13" s="95" t="s">
        <v>78</v>
      </c>
      <c r="B13" s="96">
        <v>26</v>
      </c>
      <c r="C13" s="96">
        <v>0</v>
      </c>
      <c r="D13" s="96">
        <v>0</v>
      </c>
      <c r="E13" s="96">
        <v>13</v>
      </c>
      <c r="F13" s="96">
        <v>0</v>
      </c>
      <c r="G13" s="96">
        <v>0</v>
      </c>
      <c r="H13" s="96">
        <v>0</v>
      </c>
      <c r="I13" s="101">
        <v>1.3</v>
      </c>
      <c r="J13"/>
      <c r="L13"/>
      <c r="N13" s="85">
        <v>0.33</v>
      </c>
      <c r="O13" s="85">
        <f>1-N13-M13</f>
        <v>0.67</v>
      </c>
      <c r="P13" s="82" t="str">
        <f t="shared" si="0"/>
        <v/>
      </c>
    </row>
    <row r="14" spans="1:16">
      <c r="A14" s="95" t="s">
        <v>79</v>
      </c>
      <c r="B14" s="96">
        <v>13.5</v>
      </c>
      <c r="C14" s="96">
        <v>0</v>
      </c>
      <c r="D14" s="96">
        <v>46</v>
      </c>
      <c r="E14" s="96">
        <v>0</v>
      </c>
      <c r="F14" s="96">
        <v>0</v>
      </c>
      <c r="G14" s="96">
        <v>0</v>
      </c>
      <c r="H14" s="96">
        <v>0</v>
      </c>
      <c r="I14" s="101">
        <v>1.23</v>
      </c>
      <c r="J14"/>
      <c r="L14"/>
      <c r="N14" s="85">
        <v>0</v>
      </c>
      <c r="O14" s="85">
        <f>1-N14-M14</f>
        <v>1</v>
      </c>
      <c r="P14" s="82" t="str">
        <f t="shared" si="0"/>
        <v/>
      </c>
    </row>
    <row r="15" spans="1:16">
      <c r="A15" s="95" t="s">
        <v>80</v>
      </c>
      <c r="B15" s="96">
        <v>12</v>
      </c>
      <c r="C15" s="96">
        <v>61</v>
      </c>
      <c r="D15" s="96">
        <v>0</v>
      </c>
      <c r="E15" s="96">
        <v>0</v>
      </c>
      <c r="F15" s="96">
        <v>0</v>
      </c>
      <c r="G15" s="96">
        <v>0</v>
      </c>
      <c r="H15" s="96">
        <v>0</v>
      </c>
      <c r="I15" s="101">
        <v>0.86</v>
      </c>
      <c r="J15"/>
      <c r="L15"/>
      <c r="N15" s="85">
        <v>1</v>
      </c>
      <c r="O15" s="85">
        <f>1-N15-M15</f>
        <v>0</v>
      </c>
      <c r="P15" s="82" t="str">
        <f t="shared" si="0"/>
        <v/>
      </c>
    </row>
    <row r="16" spans="1:16">
      <c r="A16" s="95" t="s">
        <v>81</v>
      </c>
      <c r="B16" s="96">
        <v>17</v>
      </c>
      <c r="C16" s="96">
        <v>44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101">
        <v>0.5</v>
      </c>
      <c r="J16"/>
      <c r="L16"/>
      <c r="M16" s="85">
        <v>1</v>
      </c>
      <c r="O16" s="85">
        <v>0</v>
      </c>
      <c r="P16" s="82" t="str">
        <f t="shared" si="0"/>
        <v/>
      </c>
    </row>
    <row r="17" spans="1:16">
      <c r="A17" s="95" t="s">
        <v>82</v>
      </c>
      <c r="B17" s="96">
        <v>0</v>
      </c>
      <c r="C17" s="96">
        <v>0</v>
      </c>
      <c r="D17" s="96">
        <v>0</v>
      </c>
      <c r="E17" s="97">
        <v>25</v>
      </c>
      <c r="F17" s="96">
        <v>32</v>
      </c>
      <c r="G17" s="96">
        <v>0</v>
      </c>
      <c r="H17" s="96">
        <v>0</v>
      </c>
      <c r="I17" s="101">
        <v>1.9</v>
      </c>
      <c r="J17"/>
      <c r="L17"/>
      <c r="P17" s="82" t="str">
        <f t="shared" si="0"/>
        <v/>
      </c>
    </row>
    <row r="18" spans="1:16">
      <c r="A18" s="95" t="s">
        <v>15</v>
      </c>
      <c r="B18" s="96">
        <v>0</v>
      </c>
      <c r="C18" s="96">
        <v>52</v>
      </c>
      <c r="D18" s="96">
        <v>34</v>
      </c>
      <c r="E18" s="96">
        <v>0</v>
      </c>
      <c r="F18" s="96">
        <v>0</v>
      </c>
      <c r="G18" s="96">
        <v>0</v>
      </c>
      <c r="H18" s="96">
        <v>0</v>
      </c>
      <c r="I18" s="101">
        <v>0.7</v>
      </c>
      <c r="J18"/>
      <c r="L18"/>
      <c r="P18" s="82" t="str">
        <f t="shared" si="0"/>
        <v/>
      </c>
    </row>
    <row r="19" spans="1:16">
      <c r="A19" s="95" t="s">
        <v>83</v>
      </c>
      <c r="B19" s="96">
        <v>0</v>
      </c>
      <c r="C19" s="96">
        <v>0</v>
      </c>
      <c r="D19" s="96">
        <v>50</v>
      </c>
      <c r="E19" s="96">
        <v>18</v>
      </c>
      <c r="F19" s="96">
        <v>0</v>
      </c>
      <c r="G19" s="96">
        <v>0</v>
      </c>
      <c r="H19" s="96">
        <v>0</v>
      </c>
      <c r="I19" s="101">
        <v>1.54</v>
      </c>
      <c r="J19"/>
      <c r="L19"/>
      <c r="P19" s="82" t="str">
        <f t="shared" si="0"/>
        <v/>
      </c>
    </row>
    <row r="20" spans="1:16">
      <c r="A20" s="95" t="s">
        <v>84</v>
      </c>
      <c r="B20" s="96">
        <v>0</v>
      </c>
      <c r="C20" s="96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101">
        <v>1</v>
      </c>
      <c r="J20"/>
      <c r="L20"/>
      <c r="P20" s="82" t="str">
        <f t="shared" si="0"/>
        <v/>
      </c>
    </row>
    <row r="21" spans="1:16">
      <c r="A21" s="95" t="s">
        <v>85</v>
      </c>
      <c r="B21" s="96">
        <v>0</v>
      </c>
      <c r="C21" s="96">
        <v>0</v>
      </c>
      <c r="D21" s="96">
        <v>0</v>
      </c>
      <c r="E21" s="96">
        <v>0</v>
      </c>
      <c r="F21" s="96">
        <v>0</v>
      </c>
      <c r="G21" s="96">
        <v>0</v>
      </c>
      <c r="H21" s="96">
        <v>0</v>
      </c>
      <c r="I21" s="101">
        <v>1</v>
      </c>
      <c r="J21"/>
      <c r="L21"/>
      <c r="P21" s="82" t="str">
        <f t="shared" si="0"/>
        <v/>
      </c>
    </row>
    <row r="22" spans="2:10">
      <c r="B22" s="98"/>
      <c r="C22" s="98"/>
      <c r="D22" s="99"/>
      <c r="E22" s="98"/>
      <c r="F22" s="98"/>
      <c r="G22" s="98"/>
      <c r="H22" s="98"/>
      <c r="I22" s="111"/>
      <c r="J22" s="96"/>
    </row>
    <row r="23" s="81" customFormat="1" ht="15.6" spans="9:15">
      <c r="I23" s="112"/>
      <c r="L23" s="113"/>
      <c r="M23" s="114"/>
      <c r="N23" s="114"/>
      <c r="O23" s="114"/>
    </row>
  </sheetData>
  <printOptions horizontalCentered="1"/>
  <pageMargins left="0.75" right="0.75" top="1" bottom="1" header="0.5" footer="0.5"/>
  <pageSetup paperSize="1" orientation="landscape" horizontalDpi="300"/>
  <headerFooter alignWithMargins="0">
    <oddFooter>&amp;R&amp;"Times New Roman"&amp;8&amp;F  &amp;D  &amp;T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3:L43"/>
  <sheetViews>
    <sheetView topLeftCell="A18" workbookViewId="0">
      <selection activeCell="D42" sqref="D42"/>
    </sheetView>
  </sheetViews>
  <sheetFormatPr defaultColWidth="9.26851851851852" defaultRowHeight="13.2"/>
  <cols>
    <col min="1" max="1" width="9.26851851851852" style="29"/>
    <col min="2" max="2" width="31" style="29" customWidth="1"/>
    <col min="3" max="3" width="12.5462962962963" style="29" customWidth="1"/>
    <col min="4" max="4" width="15.7222222222222" style="29" customWidth="1"/>
    <col min="5" max="6" width="9.26851851851852" style="29"/>
    <col min="7" max="7" width="31.4537037037037" style="29" customWidth="1"/>
    <col min="8" max="8" width="20.7222222222222" style="29" customWidth="1"/>
    <col min="9" max="9" width="17.2685185185185" style="29" customWidth="1"/>
    <col min="10" max="10" width="9.26851851851852" style="30"/>
    <col min="11" max="16384" width="9.26851851851852" style="29"/>
  </cols>
  <sheetData>
    <row r="3" ht="13.95"/>
    <row r="4" ht="15.6" spans="2:9">
      <c r="B4" s="31" t="s">
        <v>86</v>
      </c>
      <c r="C4" s="32"/>
      <c r="D4" s="33"/>
      <c r="G4" s="31" t="s">
        <v>87</v>
      </c>
      <c r="H4" s="32"/>
      <c r="I4" s="33"/>
    </row>
    <row r="5" ht="15.6" spans="2:9">
      <c r="B5" s="34" t="str">
        <f>Formula!A1</f>
        <v>Formula 10-10-40</v>
      </c>
      <c r="C5" s="35" t="s">
        <v>88</v>
      </c>
      <c r="D5" s="36" t="s">
        <v>89</v>
      </c>
      <c r="G5" s="37" t="s">
        <v>90</v>
      </c>
      <c r="H5" s="38">
        <v>20</v>
      </c>
      <c r="I5" s="74" t="s">
        <v>91</v>
      </c>
    </row>
    <row r="6" ht="15.6" spans="2:9">
      <c r="B6" s="39" t="s">
        <v>92</v>
      </c>
      <c r="C6" s="40">
        <f>Formula!C39</f>
        <v>1643.28486928321</v>
      </c>
      <c r="D6" s="41">
        <f>C6/1000*1.05</f>
        <v>1.72544911274737</v>
      </c>
      <c r="G6" s="37" t="s">
        <v>93</v>
      </c>
      <c r="H6" s="38">
        <v>36</v>
      </c>
      <c r="I6" s="74" t="s">
        <v>94</v>
      </c>
    </row>
    <row r="7" ht="15.6" spans="2:9">
      <c r="B7" s="39" t="s">
        <v>95</v>
      </c>
      <c r="C7" s="40">
        <v>6</v>
      </c>
      <c r="D7" s="41">
        <f>C7/100*1.05</f>
        <v>0.063</v>
      </c>
      <c r="G7" s="37" t="s">
        <v>96</v>
      </c>
      <c r="H7" s="38">
        <v>20</v>
      </c>
      <c r="I7" s="74" t="s">
        <v>97</v>
      </c>
    </row>
    <row r="8" ht="15.6" spans="2:9">
      <c r="B8" s="39" t="s">
        <v>98</v>
      </c>
      <c r="C8" s="40">
        <v>1</v>
      </c>
      <c r="D8" s="41">
        <f>C8/20</f>
        <v>0.05</v>
      </c>
      <c r="G8" s="37" t="s">
        <v>99</v>
      </c>
      <c r="H8" s="38">
        <v>720</v>
      </c>
      <c r="I8" s="74" t="s">
        <v>100</v>
      </c>
    </row>
    <row r="9" ht="15.6" spans="2:12">
      <c r="B9" s="39" t="s">
        <v>101</v>
      </c>
      <c r="C9" s="40">
        <v>15</v>
      </c>
      <c r="D9" s="41">
        <f>C9/(14/20)/1000</f>
        <v>0.0214285714285714</v>
      </c>
      <c r="G9" s="37" t="s">
        <v>102</v>
      </c>
      <c r="H9" s="38">
        <v>14400</v>
      </c>
      <c r="I9" s="74" t="s">
        <v>103</v>
      </c>
      <c r="L9" s="75"/>
    </row>
    <row r="10" ht="16.35" spans="2:9">
      <c r="B10" s="39" t="s">
        <v>104</v>
      </c>
      <c r="C10" s="40">
        <v>100</v>
      </c>
      <c r="D10" s="41">
        <f>C10/1000</f>
        <v>0.1</v>
      </c>
      <c r="G10" s="42" t="s">
        <v>105</v>
      </c>
      <c r="H10" s="43">
        <v>14400</v>
      </c>
      <c r="I10" s="76" t="s">
        <v>106</v>
      </c>
    </row>
    <row r="11" spans="2:4">
      <c r="B11" s="39" t="s">
        <v>107</v>
      </c>
      <c r="C11" s="40">
        <f>Formula!B43</f>
        <v>0</v>
      </c>
      <c r="D11" s="41">
        <f>C11/H9</f>
        <v>0</v>
      </c>
    </row>
    <row r="12" ht="13.95" spans="2:4">
      <c r="B12" s="44" t="s">
        <v>108</v>
      </c>
      <c r="C12" s="45"/>
      <c r="D12" s="46">
        <f>SUM(D6:D11)</f>
        <v>1.95987768417594</v>
      </c>
    </row>
    <row r="13" ht="14.7" spans="2:4">
      <c r="B13" s="47" t="s">
        <v>109</v>
      </c>
      <c r="C13" s="48"/>
      <c r="D13" s="49">
        <f>D12/0.5</f>
        <v>3.91975536835188</v>
      </c>
    </row>
    <row r="14" ht="13.95" spans="2:4">
      <c r="B14" s="47" t="s">
        <v>66</v>
      </c>
      <c r="C14" s="48"/>
      <c r="D14" s="49">
        <f>D13-D12</f>
        <v>1.95987768417594</v>
      </c>
    </row>
    <row r="15" ht="13.95" spans="2:4">
      <c r="B15" s="47" t="s">
        <v>67</v>
      </c>
      <c r="C15" s="48"/>
      <c r="D15" s="50">
        <f>D14/D13</f>
        <v>0.5</v>
      </c>
    </row>
    <row r="16" spans="2:4">
      <c r="B16" s="51"/>
      <c r="C16" s="52"/>
      <c r="D16" s="53"/>
    </row>
    <row r="17" ht="13.95"/>
    <row r="18" s="28" customFormat="1" ht="15.6" spans="2:10">
      <c r="B18" s="54" t="s">
        <v>110</v>
      </c>
      <c r="C18" s="55"/>
      <c r="D18" s="56"/>
      <c r="G18" s="54" t="s">
        <v>111</v>
      </c>
      <c r="H18" s="55"/>
      <c r="I18" s="56"/>
      <c r="J18" s="77"/>
    </row>
    <row r="19" s="28" customFormat="1" ht="15.6" spans="2:10">
      <c r="B19" s="57" t="str">
        <f>Formula!A1</f>
        <v>Formula 10-10-40</v>
      </c>
      <c r="C19" s="58" t="s">
        <v>88</v>
      </c>
      <c r="D19" s="59" t="s">
        <v>89</v>
      </c>
      <c r="G19" s="60" t="s">
        <v>90</v>
      </c>
      <c r="H19" s="61">
        <v>20</v>
      </c>
      <c r="I19" s="78" t="s">
        <v>91</v>
      </c>
      <c r="J19" s="77"/>
    </row>
    <row r="20" s="28" customFormat="1" ht="15.6" spans="2:10">
      <c r="B20" s="62" t="s">
        <v>92</v>
      </c>
      <c r="C20" s="63">
        <f>Formula!C39</f>
        <v>1643.28486928321</v>
      </c>
      <c r="D20" s="64">
        <f>C20/500*1.03</f>
        <v>3.38516683072341</v>
      </c>
      <c r="G20" s="60" t="s">
        <v>93</v>
      </c>
      <c r="H20" s="61">
        <v>36</v>
      </c>
      <c r="I20" s="78" t="s">
        <v>94</v>
      </c>
      <c r="J20" s="77"/>
    </row>
    <row r="21" s="28" customFormat="1" ht="15.6" spans="2:10">
      <c r="B21" s="62" t="s">
        <v>95</v>
      </c>
      <c r="C21" s="63">
        <v>6</v>
      </c>
      <c r="D21" s="64">
        <f>C21/60*1.05</f>
        <v>0.105</v>
      </c>
      <c r="G21" s="60" t="s">
        <v>112</v>
      </c>
      <c r="H21" s="61">
        <v>10</v>
      </c>
      <c r="I21" s="78" t="s">
        <v>113</v>
      </c>
      <c r="J21" s="77"/>
    </row>
    <row r="22" s="28" customFormat="1" ht="15.6" spans="2:10">
      <c r="B22" s="62" t="s">
        <v>98</v>
      </c>
      <c r="C22" s="63">
        <v>1</v>
      </c>
      <c r="D22" s="64">
        <f>C22/10</f>
        <v>0.1</v>
      </c>
      <c r="G22" s="60" t="s">
        <v>99</v>
      </c>
      <c r="H22" s="61">
        <v>360</v>
      </c>
      <c r="I22" s="78" t="s">
        <v>114</v>
      </c>
      <c r="J22" s="77"/>
    </row>
    <row r="23" s="28" customFormat="1" ht="15.6" spans="2:10">
      <c r="B23" s="62" t="s">
        <v>101</v>
      </c>
      <c r="C23" s="63">
        <v>15</v>
      </c>
      <c r="D23" s="64">
        <f>C23/(14/20)/500</f>
        <v>0.0428571428571429</v>
      </c>
      <c r="G23" s="60" t="s">
        <v>102</v>
      </c>
      <c r="H23" s="61">
        <v>7200</v>
      </c>
      <c r="I23" s="78" t="s">
        <v>115</v>
      </c>
      <c r="J23" s="77"/>
    </row>
    <row r="24" s="28" customFormat="1" ht="16.35" spans="2:10">
      <c r="B24" s="62" t="s">
        <v>104</v>
      </c>
      <c r="C24" s="63">
        <v>60</v>
      </c>
      <c r="D24" s="64">
        <f>C24/500</f>
        <v>0.12</v>
      </c>
      <c r="G24" s="65" t="s">
        <v>105</v>
      </c>
      <c r="H24" s="66">
        <v>14400</v>
      </c>
      <c r="I24" s="79" t="s">
        <v>116</v>
      </c>
      <c r="J24" s="77"/>
    </row>
    <row r="25" s="28" customFormat="1" spans="2:10">
      <c r="B25" s="62" t="s">
        <v>107</v>
      </c>
      <c r="C25" s="63">
        <f>Formula!B43</f>
        <v>0</v>
      </c>
      <c r="D25" s="64">
        <f>C25/H23</f>
        <v>0</v>
      </c>
      <c r="J25" s="77"/>
    </row>
    <row r="26" s="28" customFormat="1" ht="13.95" spans="2:10">
      <c r="B26" s="67" t="s">
        <v>108</v>
      </c>
      <c r="C26" s="68"/>
      <c r="D26" s="69">
        <f>SUM(D20:D25)</f>
        <v>3.75302397358055</v>
      </c>
      <c r="J26" s="77"/>
    </row>
    <row r="27" s="28" customFormat="1" ht="14.7" spans="2:10">
      <c r="B27" s="70" t="s">
        <v>109</v>
      </c>
      <c r="C27" s="71"/>
      <c r="D27" s="72">
        <f>D26/0.718</f>
        <v>5.2270528879952</v>
      </c>
      <c r="J27" s="77"/>
    </row>
    <row r="28" s="28" customFormat="1" ht="13.95" spans="2:10">
      <c r="B28" s="70" t="s">
        <v>66</v>
      </c>
      <c r="C28" s="71"/>
      <c r="D28" s="72">
        <f>D27-D26</f>
        <v>1.47402891441465</v>
      </c>
      <c r="J28" s="77"/>
    </row>
    <row r="29" s="28" customFormat="1" ht="13.95" spans="2:10">
      <c r="B29" s="70" t="s">
        <v>67</v>
      </c>
      <c r="C29" s="71"/>
      <c r="D29" s="73">
        <f>D28/D27</f>
        <v>0.282</v>
      </c>
      <c r="J29" s="77"/>
    </row>
    <row r="30" s="28" customFormat="1" spans="10:10">
      <c r="J30" s="77"/>
    </row>
    <row r="31" s="28" customFormat="1" ht="13.95" spans="10:10">
      <c r="J31" s="77"/>
    </row>
    <row r="32" s="28" customFormat="1" ht="15.6" spans="2:10">
      <c r="B32" s="54" t="s">
        <v>117</v>
      </c>
      <c r="C32" s="55"/>
      <c r="D32" s="56"/>
      <c r="G32" s="54" t="s">
        <v>118</v>
      </c>
      <c r="H32" s="55"/>
      <c r="I32" s="56"/>
      <c r="J32" s="77"/>
    </row>
    <row r="33" s="28" customFormat="1" ht="15.6" spans="2:10">
      <c r="B33" s="57" t="str">
        <f>Formula!A1</f>
        <v>Formula 10-10-40</v>
      </c>
      <c r="C33" s="58" t="s">
        <v>88</v>
      </c>
      <c r="D33" s="59" t="s">
        <v>89</v>
      </c>
      <c r="G33" s="60" t="s">
        <v>90</v>
      </c>
      <c r="H33" s="61">
        <v>20</v>
      </c>
      <c r="I33" s="78" t="s">
        <v>91</v>
      </c>
      <c r="J33" s="77"/>
    </row>
    <row r="34" s="28" customFormat="1" ht="15.6" spans="2:10">
      <c r="B34" s="62" t="s">
        <v>92</v>
      </c>
      <c r="C34" s="63">
        <f>Formula!C39</f>
        <v>1643.28486928321</v>
      </c>
      <c r="D34" s="64">
        <f>C34/200*1.015</f>
        <v>8.33967071161227</v>
      </c>
      <c r="G34" s="60" t="s">
        <v>93</v>
      </c>
      <c r="H34" s="61">
        <v>36</v>
      </c>
      <c r="I34" s="78" t="s">
        <v>94</v>
      </c>
      <c r="J34" s="77"/>
    </row>
    <row r="35" s="28" customFormat="1" ht="15.6" spans="2:10">
      <c r="B35" s="62" t="s">
        <v>95</v>
      </c>
      <c r="C35" s="63">
        <v>6</v>
      </c>
      <c r="D35" s="64">
        <f>C35/30*1.05</f>
        <v>0.21</v>
      </c>
      <c r="G35" s="60" t="s">
        <v>119</v>
      </c>
      <c r="H35" s="61">
        <v>4</v>
      </c>
      <c r="I35" s="78" t="s">
        <v>120</v>
      </c>
      <c r="J35" s="77"/>
    </row>
    <row r="36" s="28" customFormat="1" ht="15.6" spans="2:10">
      <c r="B36" s="62" t="s">
        <v>98</v>
      </c>
      <c r="C36" s="63">
        <v>1</v>
      </c>
      <c r="D36" s="64">
        <f>C36/4</f>
        <v>0.25</v>
      </c>
      <c r="G36" s="60" t="s">
        <v>99</v>
      </c>
      <c r="H36" s="61">
        <v>144</v>
      </c>
      <c r="I36" s="78" t="s">
        <v>121</v>
      </c>
      <c r="J36" s="77"/>
    </row>
    <row r="37" s="28" customFormat="1" ht="15.6" spans="2:10">
      <c r="B37" s="62" t="s">
        <v>101</v>
      </c>
      <c r="C37" s="63">
        <v>15</v>
      </c>
      <c r="D37" s="64">
        <f>C37/(14/20)/200</f>
        <v>0.107142857142857</v>
      </c>
      <c r="G37" s="60" t="s">
        <v>102</v>
      </c>
      <c r="H37" s="61">
        <v>2880</v>
      </c>
      <c r="I37" s="78" t="s">
        <v>122</v>
      </c>
      <c r="J37" s="77"/>
    </row>
    <row r="38" s="28" customFormat="1" ht="16.35" spans="2:10">
      <c r="B38" s="62" t="s">
        <v>104</v>
      </c>
      <c r="C38" s="63">
        <v>50</v>
      </c>
      <c r="D38" s="64">
        <f>C38/200</f>
        <v>0.25</v>
      </c>
      <c r="G38" s="65" t="s">
        <v>105</v>
      </c>
      <c r="H38" s="66">
        <v>14400</v>
      </c>
      <c r="I38" s="79" t="s">
        <v>123</v>
      </c>
      <c r="J38" s="77"/>
    </row>
    <row r="39" s="28" customFormat="1" spans="2:10">
      <c r="B39" s="62" t="s">
        <v>107</v>
      </c>
      <c r="C39" s="63">
        <f>Formula!B43</f>
        <v>0</v>
      </c>
      <c r="D39" s="64">
        <f>C39/H37</f>
        <v>0</v>
      </c>
      <c r="J39" s="77"/>
    </row>
    <row r="40" s="28" customFormat="1" ht="13.95" spans="2:10">
      <c r="B40" s="67" t="s">
        <v>108</v>
      </c>
      <c r="C40" s="68"/>
      <c r="D40" s="69">
        <f>SUM(D34:D39)</f>
        <v>9.15681356875513</v>
      </c>
      <c r="J40" s="77"/>
    </row>
    <row r="41" s="28" customFormat="1" ht="14.7" spans="2:10">
      <c r="B41" s="70" t="s">
        <v>109</v>
      </c>
      <c r="C41" s="71"/>
      <c r="D41" s="72">
        <f>D40/0.785</f>
        <v>11.6647306608346</v>
      </c>
      <c r="J41" s="77"/>
    </row>
    <row r="42" s="28" customFormat="1" ht="13.95" spans="2:10">
      <c r="B42" s="70" t="s">
        <v>66</v>
      </c>
      <c r="C42" s="71"/>
      <c r="D42" s="72">
        <f>D41-D40</f>
        <v>2.50791709207943</v>
      </c>
      <c r="J42" s="77"/>
    </row>
    <row r="43" s="28" customFormat="1" ht="13.95" spans="2:10">
      <c r="B43" s="70" t="s">
        <v>67</v>
      </c>
      <c r="C43" s="71"/>
      <c r="D43" s="73">
        <f>D42/D41</f>
        <v>0.215</v>
      </c>
      <c r="J43" s="77"/>
    </row>
  </sheetData>
  <mergeCells count="6">
    <mergeCell ref="B4:D4"/>
    <mergeCell ref="G4:I4"/>
    <mergeCell ref="B18:D18"/>
    <mergeCell ref="G18:I18"/>
    <mergeCell ref="B32:D32"/>
    <mergeCell ref="G32:I32"/>
  </mergeCells>
  <printOptions horizontalCentered="1" verticalCentered="1"/>
  <pageMargins left="0.75" right="0.75" top="1" bottom="1" header="0.5" footer="0.5"/>
  <pageSetup paperSize="1" scale="82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7"/>
  <sheetViews>
    <sheetView topLeftCell="A16" workbookViewId="0">
      <selection activeCell="B32" sqref="B32"/>
    </sheetView>
  </sheetViews>
  <sheetFormatPr defaultColWidth="9" defaultRowHeight="13.2" outlineLevelCol="1"/>
  <sheetData>
    <row r="3" spans="1:2">
      <c r="A3" s="27" t="s">
        <v>124</v>
      </c>
      <c r="B3" s="27" t="s">
        <v>125</v>
      </c>
    </row>
    <row r="4" spans="2:2">
      <c r="B4" s="27" t="s">
        <v>126</v>
      </c>
    </row>
    <row r="5" spans="2:2">
      <c r="B5" s="27" t="s">
        <v>127</v>
      </c>
    </row>
    <row r="6" spans="2:2">
      <c r="B6" s="27" t="s">
        <v>128</v>
      </c>
    </row>
    <row r="7" spans="2:2">
      <c r="B7" s="27" t="s">
        <v>129</v>
      </c>
    </row>
    <row r="8" spans="2:2">
      <c r="B8" s="27" t="s">
        <v>130</v>
      </c>
    </row>
    <row r="9" spans="2:2">
      <c r="B9" s="27" t="s">
        <v>131</v>
      </c>
    </row>
    <row r="10" spans="2:2">
      <c r="B10" s="27" t="s">
        <v>132</v>
      </c>
    </row>
    <row r="11" spans="2:2">
      <c r="B11" s="27" t="s">
        <v>133</v>
      </c>
    </row>
    <row r="12" spans="2:2">
      <c r="B12" s="27" t="s">
        <v>134</v>
      </c>
    </row>
    <row r="16" spans="1:2">
      <c r="A16" s="27" t="s">
        <v>135</v>
      </c>
      <c r="B16" s="27" t="s">
        <v>62</v>
      </c>
    </row>
    <row r="17" spans="2:2">
      <c r="B17" s="27" t="s">
        <v>136</v>
      </c>
    </row>
    <row r="18" spans="2:2">
      <c r="B18" s="27" t="s">
        <v>137</v>
      </c>
    </row>
    <row r="19" spans="2:2">
      <c r="B19" s="27" t="s">
        <v>138</v>
      </c>
    </row>
    <row r="22" spans="1:2">
      <c r="A22" t="s">
        <v>139</v>
      </c>
      <c r="B22" s="27" t="s">
        <v>140</v>
      </c>
    </row>
    <row r="23" spans="2:2">
      <c r="B23" s="27" t="s">
        <v>141</v>
      </c>
    </row>
    <row r="24" spans="2:2">
      <c r="B24" s="27" t="s">
        <v>142</v>
      </c>
    </row>
    <row r="25" spans="2:2">
      <c r="B25" s="27" t="s">
        <v>143</v>
      </c>
    </row>
    <row r="26" spans="2:2">
      <c r="B26" s="27" t="s">
        <v>144</v>
      </c>
    </row>
    <row r="27" spans="2:2">
      <c r="B27" s="27" t="s">
        <v>145</v>
      </c>
    </row>
    <row r="28" spans="2:2">
      <c r="B28" s="27" t="s">
        <v>146</v>
      </c>
    </row>
    <row r="29" spans="2:2">
      <c r="B29" s="27" t="s">
        <v>147</v>
      </c>
    </row>
    <row r="30" spans="2:2">
      <c r="B30" s="27" t="s">
        <v>148</v>
      </c>
    </row>
    <row r="31" spans="2:2">
      <c r="B31" s="27" t="s">
        <v>149</v>
      </c>
    </row>
    <row r="32" spans="2:2">
      <c r="B32" s="27" t="s">
        <v>150</v>
      </c>
    </row>
    <row r="33" spans="2:2">
      <c r="B33" s="27" t="s">
        <v>151</v>
      </c>
    </row>
    <row r="34" spans="2:2">
      <c r="B34" s="27" t="s">
        <v>152</v>
      </c>
    </row>
    <row r="35" spans="2:2">
      <c r="B35" s="27" t="s">
        <v>153</v>
      </c>
    </row>
    <row r="36" spans="2:2">
      <c r="B36" s="27" t="s">
        <v>154</v>
      </c>
    </row>
    <row r="37" spans="2:2">
      <c r="B37" s="27" t="s">
        <v>155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1"/>
  <sheetViews>
    <sheetView tabSelected="1" zoomScale="69" zoomScaleNormal="69" workbookViewId="0">
      <selection activeCell="H13" sqref="H13"/>
    </sheetView>
  </sheetViews>
  <sheetFormatPr defaultColWidth="9" defaultRowHeight="13.2" outlineLevelCol="4"/>
  <cols>
    <col min="1" max="1" width="9.5462962962963" customWidth="1"/>
    <col min="2" max="2" width="33.6296296296296" customWidth="1"/>
    <col min="3" max="3" width="37.5462962962963" customWidth="1"/>
    <col min="5" max="5" width="23.6296296296296" customWidth="1"/>
  </cols>
  <sheetData>
    <row r="2" ht="24.6" spans="2:5">
      <c r="B2" s="1" t="s">
        <v>156</v>
      </c>
      <c r="C2" s="1"/>
      <c r="E2" s="2"/>
    </row>
    <row r="4" ht="18" spans="2:3">
      <c r="B4" s="3" t="str">
        <f>" Product Name: "&amp;ROUND(C7,0)&amp;"-"&amp;ROUND(C11,0)&amp;"-"&amp;ROUND(C12,0)</f>
        <v> Product Name: 10-10-40</v>
      </c>
      <c r="C4" s="3"/>
    </row>
    <row r="5" ht="13.95"/>
    <row r="6" ht="18.15" spans="2:3">
      <c r="B6" s="4" t="s">
        <v>157</v>
      </c>
      <c r="C6" s="5" t="s">
        <v>158</v>
      </c>
    </row>
    <row r="7" ht="18.75" spans="2:3">
      <c r="B7" s="6" t="s">
        <v>159</v>
      </c>
      <c r="C7" s="7">
        <f>SUM(C8:C10)</f>
        <v>10.0200400801603</v>
      </c>
    </row>
    <row r="8" ht="18.75" spans="2:3">
      <c r="B8" s="6" t="s">
        <v>160</v>
      </c>
      <c r="C8" s="7">
        <f>Formula!G8*100</f>
        <v>2.20030434527293</v>
      </c>
    </row>
    <row r="9" ht="18.75" spans="2:3">
      <c r="B9" s="6" t="s">
        <v>161</v>
      </c>
      <c r="C9" s="7">
        <f>Formula!G7*100</f>
        <v>1.21215397167637</v>
      </c>
    </row>
    <row r="10" ht="18.75" spans="2:3">
      <c r="B10" s="6" t="s">
        <v>74</v>
      </c>
      <c r="C10" s="7">
        <f>Formula!G6*100</f>
        <v>6.60758176321102</v>
      </c>
    </row>
    <row r="11" ht="18.75" spans="2:3">
      <c r="B11" s="8" t="s">
        <v>162</v>
      </c>
      <c r="C11" s="7">
        <f>Formula!N9</f>
        <v>10.0200400801603</v>
      </c>
    </row>
    <row r="12" ht="18.75" spans="2:3">
      <c r="B12" s="8" t="s">
        <v>163</v>
      </c>
      <c r="C12" s="7">
        <f>Formula!L9</f>
        <v>40.3306613226453</v>
      </c>
    </row>
    <row r="13" ht="18.15" spans="2:3">
      <c r="B13" s="9" t="s">
        <v>84</v>
      </c>
      <c r="C13" s="10" t="s">
        <v>164</v>
      </c>
    </row>
    <row r="14" ht="18.75" spans="2:3">
      <c r="B14" s="11" t="s">
        <v>165</v>
      </c>
      <c r="C14" s="12">
        <f>Formula!K38</f>
        <v>51</v>
      </c>
    </row>
    <row r="15" ht="18.75" spans="2:3">
      <c r="B15" s="11" t="s">
        <v>166</v>
      </c>
      <c r="C15" s="12">
        <f>Formula!K40</f>
        <v>26</v>
      </c>
    </row>
    <row r="16" ht="18.75" spans="2:3">
      <c r="B16" s="11" t="s">
        <v>167</v>
      </c>
      <c r="C16" s="12">
        <f>Formula!K39</f>
        <v>26</v>
      </c>
    </row>
    <row r="17" ht="18.75" spans="2:3">
      <c r="B17" s="11" t="s">
        <v>168</v>
      </c>
      <c r="C17" s="12">
        <f>Formula!K37</f>
        <v>26</v>
      </c>
    </row>
    <row r="18" ht="18.75" spans="2:3">
      <c r="B18" s="13" t="s">
        <v>169</v>
      </c>
      <c r="C18" s="12">
        <f>Formula!K36</f>
        <v>8</v>
      </c>
    </row>
    <row r="19" ht="17.4" spans="2:3">
      <c r="B19" s="14" t="s">
        <v>170</v>
      </c>
      <c r="C19" s="15"/>
    </row>
    <row r="20" ht="18.75" spans="2:4">
      <c r="B20" s="12" t="s">
        <v>171</v>
      </c>
      <c r="C20" s="12" t="s">
        <v>172</v>
      </c>
      <c r="D20" s="16"/>
    </row>
    <row r="21" ht="15" customHeight="1" spans="2:4">
      <c r="B21" s="12" t="s">
        <v>173</v>
      </c>
      <c r="C21" s="12" t="s">
        <v>174</v>
      </c>
      <c r="D21" s="16"/>
    </row>
    <row r="22" ht="16" customHeight="1" spans="2:4">
      <c r="B22" s="12" t="s">
        <v>175</v>
      </c>
      <c r="C22" s="12" t="s">
        <v>174</v>
      </c>
      <c r="D22" s="16"/>
    </row>
    <row r="23" ht="20.5" customHeight="1" spans="2:4">
      <c r="B23" s="12" t="s">
        <v>176</v>
      </c>
      <c r="C23" s="17" t="s">
        <v>177</v>
      </c>
      <c r="D23" s="16"/>
    </row>
    <row r="24" ht="18.75" spans="2:4">
      <c r="B24" s="12" t="s">
        <v>178</v>
      </c>
      <c r="C24" s="12"/>
      <c r="D24" s="16"/>
    </row>
    <row r="25" ht="19" customHeight="1" spans="2:3">
      <c r="B25" s="18"/>
      <c r="C25" s="19"/>
    </row>
    <row r="26" ht="18.75" spans="2:3">
      <c r="B26" s="20" t="s">
        <v>179</v>
      </c>
      <c r="C26" s="20" t="s">
        <v>180</v>
      </c>
    </row>
    <row r="27" ht="18.75" spans="2:3">
      <c r="B27" s="12" t="s">
        <v>181</v>
      </c>
      <c r="C27" s="12" t="s">
        <v>180</v>
      </c>
    </row>
    <row r="28" ht="18" customHeight="1" spans="2:3">
      <c r="B28" s="21" t="s">
        <v>182</v>
      </c>
      <c r="C28" s="22"/>
    </row>
    <row r="29" ht="18.75" spans="2:3">
      <c r="B29" s="20" t="s">
        <v>183</v>
      </c>
      <c r="C29" s="20" t="s">
        <v>184</v>
      </c>
    </row>
    <row r="30" ht="18.75" spans="2:3">
      <c r="B30" s="23" t="s">
        <v>185</v>
      </c>
      <c r="C30" s="24">
        <v>1</v>
      </c>
    </row>
    <row r="31" ht="18.75" spans="2:3">
      <c r="B31" s="25" t="s">
        <v>186</v>
      </c>
      <c r="C31" s="26">
        <f>Formula!J13</f>
        <v>12.1383556010581</v>
      </c>
    </row>
  </sheetData>
  <mergeCells count="6">
    <mergeCell ref="B2:C2"/>
    <mergeCell ref="B4:C4"/>
    <mergeCell ref="B19:C19"/>
    <mergeCell ref="B25:C25"/>
    <mergeCell ref="B28:C28"/>
    <mergeCell ref="C23:C2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Chilean Nitrate Corporation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Formula</vt:lpstr>
      <vt:lpstr>Data</vt:lpstr>
      <vt:lpstr>1,2,5kg cost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hajileh</dc:creator>
  <cp:lastModifiedBy>ghaly2</cp:lastModifiedBy>
  <dcterms:created xsi:type="dcterms:W3CDTF">1997-01-28T21:27:00Z</dcterms:created>
  <cp:lastPrinted>2023-09-06T06:28:00Z</cp:lastPrinted>
  <dcterms:modified xsi:type="dcterms:W3CDTF">2026-10-01T10:59:40Z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C3393B42381442FCA7BB27425951EA39_12</vt:lpwstr>
  </property>
  <property fmtid="{D5CDD505-2E9C-101B-9397-08002B2CF9AE}" pid="3" name="KSOProductBuildVer">
    <vt:lpwstr>2057-12.2.0.23206</vt:lpwstr>
  </property>
</Properties>
</file>